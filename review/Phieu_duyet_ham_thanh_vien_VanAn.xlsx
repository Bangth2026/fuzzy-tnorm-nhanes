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uong dan" sheetId="1" state="visible" r:id="rId3"/>
    <sheet name="Phieu duyet" sheetId="2" state="visible" r:id="rId4"/>
    <sheet name="Cau hoi lam sang" sheetId="3" state="visible" r:id="rId5"/>
    <sheet name="Ngu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<sst xmlns="http://schemas.openxmlformats.org/spreadsheetml/2006/main" count="198" uniqueCount="176">
  <si>
    <t xml:space="preserve">PHIẾU DUYỆT HÀM THÀNH VIÊN CÁC KHÁI NIỆM</t>
  </si>
  <si>
    <t xml:space="preserve">Bài báo: Keep the Grades, Choose the Product: Auditing Structure and Multi-hop t-norm Inference in a Population Fuzzy Knowledge Graph of Depressive Symptoms (dự kiến gửi Journal of Biomedical Informatics)</t>
  </si>
  <si>
    <t xml:space="preserve">Người duyệt: Phan Thị Vân An (chuyên gia tâm lý lâm sàng)   ·   Người gửi: Trương Hải Bằng</t>
  </si>
  <si>
    <t xml:space="preserve">Mục đích</t>
  </si>
  <si>
    <t xml:space="preserve">Đồ thị tri thức mờ gồm 24 khái niệm trích từ NHANES 2007–2018. Mỗi khái niệm có một hàm thành viên μ ∈ [0, 1] chuyển câu trả lời khảo sát thành mức độ. 9 triệu chứng PHQ-9 dùng thang chuẩn; 15 yếu tố nguy cơ dùng ngưỡng do tác giả đặt và cần chuyên gia lâm sàng duyệt trước khi chạy lại toàn bộ pipeline.</t>
  </si>
  <si>
    <t xml:space="preserve">Cách điền (sheet 'Phieu duyet')</t>
  </si>
  <si>
    <t xml:space="preserve">1. Đọc cột F (hàm hiện tại, đúng như mã nguồn clean2.py đang chạy).</t>
  </si>
  <si>
    <t xml:space="preserve">2. Cột G–H (nền xám) là GỢI Ý THAM KHẢO do trợ lý soạn, kèm nguồn. Đây không phải ý kiến của chuyên gia; cô có thể bỏ qua hoàn toàn.</t>
  </si>
  <si>
    <t xml:space="preserve">3. Chỉ điền các ô nền vàng: cột I chọn 'Giữ' hoặc 'Sửa' (danh sách thả xuống); nếu 'Sửa', ghi hàm/ngưỡng mới ở cột J theo dạng ở ví dụ dưới; cột K ghi nguồn cô dựa vào; cột L ghi chú tự do.</t>
  </si>
  <si>
    <t xml:space="preserve">4. Sheet 'Cau hoi lam sang': trả lời ngắn 4 câu hỏi về diễn giải kết quả (vài câu mỗi ý là đủ).</t>
  </si>
  <si>
    <t xml:space="preserve">5. Ký tên, ghi ngày ở cuối sheet 'Cau hoi lam sang' và gửi lại file.</t>
  </si>
  <si>
    <t xml:space="preserve">Ví dụ một dòng đã điền (minh họa định dạng, không phải đề xuất)</t>
  </si>
  <si>
    <t xml:space="preserve">Khái niệm: short_sleep  |  Quyết định: Sửa  |  Hàm mới: 0 khi ngủ ≥ 7 giờ, 1 khi ngủ ≤ 6 giờ, tuyến tính ở giữa  |  Nguồn: Watson et al., Sleep 2015  |  Ghi chú: ngưỡng 5 giờ quá chặt cho mẫu dân số chung</t>
  </si>
  <si>
    <t xml:space="preserve">Cách viết hàm mới</t>
  </si>
  <si>
    <t xml:space="preserve">• Hàm dốc tuyến tính: '0 tại a, 1 tại b' (ví dụ BMI: 0 tại 25, 1 tại 30).</t>
  </si>
  <si>
    <t xml:space="preserve">• Hàm bậc thang theo mã trả lời: liệt kê mã → giá trị (ví dụ: hút hằng ngày = 1; thỉnh thoảng = 0,5; không = 0).</t>
  </si>
  <si>
    <t xml:space="preserve">• Nếu cần tách theo giới hoặc tuổi, ghi rõ từng nhóm.</t>
  </si>
  <si>
    <t xml:space="preserve">Sau khi nhận phiếu</t>
  </si>
  <si>
    <t xml:space="preserve">Tác giả sửa clean2.py theo phiếu và chạy lại toàn bộ pipeline theo README (clean2 → analysis2 main/nulls/rq3 → power2 → nresp_check → stats2). Mọi con số trong bài lấy từ results2/paper_stats.json; không sửa số bằng tay. Phiếu đã điền được lưu làm hồ sơ minh chứng cho mục Methods và CRediT.</t>
  </si>
  <si>
    <t xml:space="preserve">STT</t>
  </si>
  <si>
    <t xml:space="preserve">Nhóm</t>
  </si>
  <si>
    <t xml:space="preserve">Khái niệm (mã)</t>
  </si>
  <si>
    <t xml:space="preserve">Tên tiếng Việt</t>
  </si>
  <si>
    <t xml:space="preserve">Biến NHANES</t>
  </si>
  <si>
    <t xml:space="preserve">Hàm hiện tại (μ = 0 → μ = 1)</t>
  </si>
  <si>
    <t xml:space="preserve">Gợi ý tham khảo (trợ lý soạn, không phải ý kiến chuyên gia)</t>
  </si>
  <si>
    <t xml:space="preserve">Nguồn của gợi ý</t>
  </si>
  <si>
    <t xml:space="preserve">Quyết định (Giữ / Sửa)</t>
  </si>
  <si>
    <t xml:space="preserve">Hàm / ngưỡng mới (nếu Sửa)</t>
  </si>
  <si>
    <t xml:space="preserve">Nguồn chuyên gia dựa vào</t>
  </si>
  <si>
    <t xml:space="preserve">Ghi chú</t>
  </si>
  <si>
    <t xml:space="preserve">Triệu chứng</t>
  </si>
  <si>
    <t xml:space="preserve">9 mục PHQ-9 (anhedonia … suicidal_ideation)</t>
  </si>
  <si>
    <t xml:space="preserve">9 triệu chứng PHQ-9</t>
  </si>
  <si>
    <t xml:space="preserve">DPQ010–DPQ090</t>
  </si>
  <si>
    <t xml:space="preserve">Điểm mục 0–3 chia cho 3 (0; 0,33; 0,67; 1). Không đặt ngưỡng.</t>
  </si>
  <si>
    <t xml:space="preserve">Giữ: đây là thang chuẩn của công cụ. Lưu ý mục 9 (ý nghĩ tự hại) có tỉ lệ dương thấp nên các cạnh nối với nó kém ổn định hơn.</t>
  </si>
  <si>
    <t xml:space="preserve">Kroenke et al. 2001 [R1]</t>
  </si>
  <si>
    <t xml:space="preserve">Kinh tế–xã hội</t>
  </si>
  <si>
    <t xml:space="preserve">low_income</t>
  </si>
  <si>
    <t xml:space="preserve">Thu nhập thấp</t>
  </si>
  <si>
    <t xml:space="preserve">INDFMPIR (tỉ lệ thu nhập gia đình/ngưỡng nghèo)</t>
  </si>
  <si>
    <t xml:space="preserve">0 khi PIR ≥ 3; 1 khi PIR ≤ 1; tuyến tính ở giữa.</t>
  </si>
  <si>
    <t xml:space="preserve">Cân nhắc neo theo mốc thường dùng trong nghiên cứu NHANES: 1 khi PIR &lt; 1,3; 0 khi PIR ≥ 3,5 [CẦN XÁC MINH mốc trong nguồn].</t>
  </si>
  <si>
    <t xml:space="preserve">Nghiên cứu thu nhập và triệu chứng trầm cảm NHANES 2005–2016 [R2]</t>
  </si>
  <si>
    <t xml:space="preserve">low_education</t>
  </si>
  <si>
    <t xml:space="preserve">Học vấn thấp</t>
  </si>
  <si>
    <t xml:space="preserve">DMDEDUC2 (người ≥ 20 tuổi)</t>
  </si>
  <si>
    <t xml:space="preserve">Dưới lớp 9 = 1; lớp 9–11 = 1; tốt nghiệp THPT/GED = 0,5; một phần cao đẳng/đại học = 0; tốt nghiệp đại học trở lên = 0.</t>
  </si>
  <si>
    <t xml:space="preserve">Có thể giữ. Phương án khác: 'một phần cao đẳng' = 0,25 để thang có bốn bậc.</t>
  </si>
  <si>
    <t xml:space="preserve">—</t>
  </si>
  <si>
    <t xml:space="preserve">no_partner</t>
  </si>
  <si>
    <t xml:space="preserve">Không có bạn đời</t>
  </si>
  <si>
    <t xml:space="preserve">DMDMARTL</t>
  </si>
  <si>
    <t xml:space="preserve">Góa, ly hôn, ly thân, chưa từng kết hôn = 1; đang kết hôn hoặc sống chung = 0.</t>
  </si>
  <si>
    <t xml:space="preserve">Cân nhắc tách 'chưa từng kết hôn' (ví dụ 0,5) khỏi nhóm mất bạn đời (góa, ly hôn, ly thân = 1), vì hai nhóm khác nhau về ý nghĩa lâm sàng.</t>
  </si>
  <si>
    <t xml:space="preserve">uninsured</t>
  </si>
  <si>
    <t xml:space="preserve">Không có bảo hiểm y tế</t>
  </si>
  <si>
    <t xml:space="preserve">HIQ011</t>
  </si>
  <si>
    <t xml:space="preserve">Không có bảo hiểm = 1; có = 0.</t>
  </si>
  <si>
    <t xml:space="preserve">Giữ (biến nhị phân theo định nghĩa).</t>
  </si>
  <si>
    <t xml:space="preserve">Lối sống</t>
  </si>
  <si>
    <t xml:space="preserve">smoking</t>
  </si>
  <si>
    <t xml:space="preserve">Hút thuốc</t>
  </si>
  <si>
    <t xml:space="preserve">SMQ020, SMQ040</t>
  </si>
  <si>
    <t xml:space="preserve">Hút hằng ngày = 1; thỉnh thoảng = 0,5; đã bỏ = 0; chưa từng hút (&lt; 100 điếu) = 0.</t>
  </si>
  <si>
    <t xml:space="preserve">Có thể giữ. Theo định nghĩa CDC, cả 'hằng ngày' và 'thỉnh thoảng' đều là người đang hút; mức 0,5 là lựa chọn phân bậc của tác giả. Cân nhắc 'đã bỏ' = 0,25 nếu muốn phản ánh tiền sử.</t>
  </si>
  <si>
    <t xml:space="preserve">Định nghĩa tình trạng hút thuốc của NHIS/CDC [R3]</t>
  </si>
  <si>
    <t xml:space="preserve">heavy_drinking</t>
  </si>
  <si>
    <t xml:space="preserve">Uống rượu nhiều</t>
  </si>
  <si>
    <t xml:space="preserve">ALQ121/ALQ120Q, ALQ130</t>
  </si>
  <si>
    <t xml:space="preserve">Không uống trong năm = 0; với người có uống: 0 khi ≤ 2 ly/ngày uống, 1 khi ≥ 5 ly, tuyến tính ở giữa. Không tách theo giới.</t>
  </si>
  <si>
    <t xml:space="preserve">Cân nhắc tách theo giới theo NIAAA (uống nhiều: nam &gt; 4 ly/ngày, nữ &gt; 3 ly/ngày). Ví dụ: nam 0 tại 2, 1 tại 5; nữ 0 tại 1, 1 tại 4. Cần thêm biến giới RIAGENDR.</t>
  </si>
  <si>
    <t xml:space="preserve">NIAAA, Drinking Levels Defined [R4]</t>
  </si>
  <si>
    <t xml:space="preserve">inactivity</t>
  </si>
  <si>
    <t xml:space="preserve">Ít vận động</t>
  </si>
  <si>
    <t xml:space="preserve">PAQ605, PAQ620, PAQ650, PAQ665</t>
  </si>
  <si>
    <t xml:space="preserve">Có vận động mạnh (công việc hoặc giải trí) = 0; chỉ vận động vừa = 0,5; không vận động = 1.</t>
  </si>
  <si>
    <t xml:space="preserve">Có thể giữ. Các câu PAQ chỉ hỏi có/không (≥ 10 phút liên tục), không đủ để tính 150 phút/tuần theo khuyến nghị; nên ghi là hạn chế.</t>
  </si>
  <si>
    <t xml:space="preserve">Physical Activity Guidelines for Americans, 2nd ed. [R5]</t>
  </si>
  <si>
    <t xml:space="preserve">short_sleep</t>
  </si>
  <si>
    <t xml:space="preserve">Ngủ ngắn</t>
  </si>
  <si>
    <t xml:space="preserve">SLD012 / SLD010H</t>
  </si>
  <si>
    <t xml:space="preserve">0 khi ngủ ≥ 7 giờ; 1 khi ngủ ≤ 5 giờ; tuyến tính ở giữa.</t>
  </si>
  <si>
    <t xml:space="preserve">Mốc 7 giờ khớp khuyến nghị AASM/SRS. Cân nhắc mốc trên 6 giờ thay vì 5. Ngủ dài (&gt; 9 giờ) cũng liên quan trầm cảm nhưng chưa có trong mô hình; có thể thêm khái niệm long_sleep.</t>
  </si>
  <si>
    <t xml:space="preserve">Watson et al. 2015 [R6]</t>
  </si>
  <si>
    <t xml:space="preserve">obesity</t>
  </si>
  <si>
    <t xml:space="preserve">Béo phì</t>
  </si>
  <si>
    <t xml:space="preserve">BMXBMI (đo trực tiếp)</t>
  </si>
  <si>
    <t xml:space="preserve">0 khi BMI ≤ 25; 1 khi BMI ≥ 35; tuyến tính (μ = 0,5 tại BMI 30).</t>
  </si>
  <si>
    <t xml:space="preserve">Có thể giữ (μ = 0,5 trùng mốc béo phì WHO). Phương án khác: 0 tại 25, 1 tại 30, nếu muốn μ = 1 cho mọi người béo phì.</t>
  </si>
  <si>
    <t xml:space="preserve">WHO Technical Report Series 894 [R7]</t>
  </si>
  <si>
    <t xml:space="preserve">Sức khỏe</t>
  </si>
  <si>
    <t xml:space="preserve">poor_self_rated_health</t>
  </si>
  <si>
    <t xml:space="preserve">Sức khỏe tự đánh giá kém</t>
  </si>
  <si>
    <t xml:space="preserve">HSD010 (1 = rất tốt … 5 = kém)</t>
  </si>
  <si>
    <t xml:space="preserve">Tuyến tính: 1 → 0; 2 → 0,25; 3 → 0,5; 4 → 0,75; 5 → 1.</t>
  </si>
  <si>
    <t xml:space="preserve">Có thể giữ. Nhiều nghiên cứu gộp 'trung bình/kém' thành nhóm nguy cơ; nếu chuyên gia muốn, dùng: 1–2 = 0; 3 = 0,33; 4 = 0,67; 5 = 1.</t>
  </si>
  <si>
    <t xml:space="preserve">Idler &amp; Benyamini 1997 [R8]</t>
  </si>
  <si>
    <t xml:space="preserve">hypertension</t>
  </si>
  <si>
    <t xml:space="preserve">Tăng huyết áp</t>
  </si>
  <si>
    <t xml:space="preserve">BPQ020</t>
  </si>
  <si>
    <t xml:space="preserve">Từng được bác sĩ nói bị tăng huyết áp = 1; không = 0.</t>
  </si>
  <si>
    <t xml:space="preserve">Giữ (tự báo cáo chẩn đoán).</t>
  </si>
  <si>
    <t xml:space="preserve">diabetes</t>
  </si>
  <si>
    <t xml:space="preserve">Đái tháo đường</t>
  </si>
  <si>
    <t xml:space="preserve">DIQ010</t>
  </si>
  <si>
    <t xml:space="preserve">Có chẩn đoán = 1; 'giáp ranh' (borderline) = 0,5; không = 0.</t>
  </si>
  <si>
    <t xml:space="preserve">Có thể giữ. 'Giáp ranh' tương ứng tiền đái tháo đường; cân nhắc 0,3–0,5.</t>
  </si>
  <si>
    <t xml:space="preserve">ADA, Standards of Care – Diagnosis and Classification [R9]</t>
  </si>
  <si>
    <t xml:space="preserve">cardiovascular</t>
  </si>
  <si>
    <t xml:space="preserve">Bệnh tim mạch</t>
  </si>
  <si>
    <t xml:space="preserve">MCQ160B, C, E, F</t>
  </si>
  <si>
    <t xml:space="preserve">Có ít nhất một trong: suy tim, bệnh mạch vành, nhồi máu cơ tim, đột quỵ = 1; không = 0.</t>
  </si>
  <si>
    <t xml:space="preserve">Giữ. Cân nhắc có nên tách đột quỵ (bệnh mạch máu não) ra không.</t>
  </si>
  <si>
    <t xml:space="preserve">cancer</t>
  </si>
  <si>
    <t xml:space="preserve">Ung thư</t>
  </si>
  <si>
    <t xml:space="preserve">MCQ220</t>
  </si>
  <si>
    <t xml:space="preserve">Từng được chẩn đoán ung thư bất kỳ = 1; không = 0.</t>
  </si>
  <si>
    <t xml:space="preserve">Cân nhắc loại trừ ung thư da không phải melanoma (dùng MCQ230 để xác định loại), vì nhóm này phổ biến và ít gánh nặng tâm lý.</t>
  </si>
  <si>
    <t xml:space="preserve">arthritis</t>
  </si>
  <si>
    <t xml:space="preserve">Viêm khớp</t>
  </si>
  <si>
    <t xml:space="preserve">MCQ160A</t>
  </si>
  <si>
    <t xml:space="preserve">Từng được bác sĩ nói bị viêm khớp = 1; không = 0.</t>
  </si>
  <si>
    <t xml:space="preserve">Giữ.</t>
  </si>
  <si>
    <t xml:space="preserve">Đã duyệt:</t>
  </si>
  <si>
    <t xml:space="preserve">Số dòng 'Sửa':</t>
  </si>
  <si>
    <t xml:space="preserve">Kết quả từ dữ liệu (pipeline hiện tại, trước khi duyệt)</t>
  </si>
  <si>
    <t xml:space="preserve">Câu hỏi cho chuyên gia</t>
  </si>
  <si>
    <t xml:space="preserve">Ý kiến chuyên gia</t>
  </si>
  <si>
    <t xml:space="preserve">Thuật toán Leiden chia 24 khái niệm thành 3 cộng đồng: (a) triệu chứng trầm cảm; (b) sức khỏe thực thể; (c) bất lợi kinh tế–xã hội. Cách chia giữ nguyên trên dữ liệu 2007–2012.</t>
  </si>
  <si>
    <t xml:space="preserve">Cách chia này có hợp lý về lâm sàng không? Có khái niệm nào nằm sai nhóm theo kinh nghiệm của cô?</t>
  </si>
  <si>
    <t xml:space="preserve">Khi bỏ trọng số (giữ mọi cạnh với trọng số 1), mệt mỏi và rối loạn giấc ngủ chuyển sang cộng đồng sức khỏe thực thể.</t>
  </si>
  <si>
    <t xml:space="preserve">Điều này có khớp với cách phân biệt triệu chứng cơ thể (somatic) và triệu chứng nhận thức–cảm xúc của trầm cảm không? Có tài liệu nào cô muốn dẫn?</t>
  </si>
  <si>
    <t xml:space="preserve">15/24 khái niệm có cạnh đi ra mạnh nhất trỏ về 'sức khỏe tự đánh giá kém'.</t>
  </si>
  <si>
    <t xml:space="preserve">Theo cô, đây là một nút trung gian có ý nghĩa lâm sàng, hay chủ yếu là do tỉ lệ cao của khái niệm này trong dân số?</t>
  </si>
  <si>
    <t xml:space="preserve">Bài báo không khẳng định quan hệ nhân quả và không đánh giá giá trị chẩn đoán; dữ liệu là cắt ngang.</t>
  </si>
  <si>
    <t xml:space="preserve">Cô đề xuất 1–2 câu cho phần Discussion về ý nghĩa thực hành (ví dụ cho sàng lọc ở tuyến cơ sở), trong giới hạn này.</t>
  </si>
  <si>
    <t xml:space="preserve">Người duyệt (họ tên, học vị):</t>
  </si>
  <si>
    <t xml:space="preserve">Đơn vị:</t>
  </si>
  <si>
    <t xml:space="preserve">Nguyen Tat Thanh University</t>
  </si>
  <si>
    <t xml:space="preserve">Ngày duyệt:</t>
  </si>
  <si>
    <t xml:space="preserve">Chữ ký:</t>
  </si>
  <si>
    <t xml:space="preserve">Mã</t>
  </si>
  <si>
    <t xml:space="preserve">Tài liệu</t>
  </si>
  <si>
    <t xml:space="preserve">DOI / URL</t>
  </si>
  <si>
    <t xml:space="preserve">R1</t>
  </si>
  <si>
    <t xml:space="preserve">Kroenke K, Spitzer RL, Williams JBW. The PHQ-9: validity of a brief depression severity measure. J Gen Intern Med. 2001;16(9):606–613.</t>
  </si>
  <si>
    <t xml:space="preserve">https://doi.org/10.1046/j.1525-1497.2001.016009606.x</t>
  </si>
  <si>
    <t xml:space="preserve">R2</t>
  </si>
  <si>
    <t xml:space="preserve">How Income and Income Inequality Drive Depressive Symptoms in U.S. Adults, Does Sex Matter: 2005–2016. Int J Environ Res Public Health. 2022.</t>
  </si>
  <si>
    <t xml:space="preserve">https://www.ncbi.nlm.nih.gov/pmc/articles/PMC9140340/</t>
  </si>
  <si>
    <t xml:space="preserve">[CẦN XÁC MINH] mốc PIR dùng trong bài</t>
  </si>
  <si>
    <t xml:space="preserve">R3</t>
  </si>
  <si>
    <t xml:space="preserve">CDC/NCHS. National Health Interview Survey – Adult tobacco use glossary (current, former, never smoker).</t>
  </si>
  <si>
    <t xml:space="preserve">https://www.cdc.gov/nchs/nhis/tobacco/tobacco_glossary.htm</t>
  </si>
  <si>
    <t xml:space="preserve">[CẦN XÁC MINH] URL</t>
  </si>
  <si>
    <t xml:space="preserve">R4</t>
  </si>
  <si>
    <t xml:space="preserve">National Institute on Alcohol Abuse and Alcoholism. Drinking Levels Defined.</t>
  </si>
  <si>
    <t xml:space="preserve">https://www.niaaa.nih.gov/alcohol-health/overview-alcohol-consumption/moderate-binge-drinking</t>
  </si>
  <si>
    <t xml:space="preserve">R5</t>
  </si>
  <si>
    <t xml:space="preserve">Piercy KL, Troiano RP, Ballard RM, et al. The Physical Activity Guidelines for Americans. JAMA. 2018;320(19):2020–2028.</t>
  </si>
  <si>
    <t xml:space="preserve">https://doi.org/10.1001/jama.2018.14854</t>
  </si>
  <si>
    <t xml:space="preserve">R6</t>
  </si>
  <si>
    <t xml:space="preserve">Watson NF, Badr MS, Belenky G, et al. Recommended amount of sleep for a healthy adult: a joint consensus statement of the AASM and SRS. Sleep. 2015;38(6):843–844.</t>
  </si>
  <si>
    <t xml:space="preserve">https://pmc.ncbi.nlm.nih.gov/articles/PMC4434546/</t>
  </si>
  <si>
    <t xml:space="preserve">R7</t>
  </si>
  <si>
    <t xml:space="preserve">World Health Organization. Obesity: preventing and managing the global epidemic. WHO Technical Report Series 894. Geneva: WHO; 2000.</t>
  </si>
  <si>
    <t xml:space="preserve">https://iris.who.int/handle/10665/42330</t>
  </si>
  <si>
    <t xml:space="preserve">R8</t>
  </si>
  <si>
    <t xml:space="preserve">Idler EL, Benyamini Y. Self-rated health and mortality: a review of twenty-seven community studies. J Health Soc Behav. 1997;38(1):21–37.</t>
  </si>
  <si>
    <t xml:space="preserve">https://pubmed.ncbi.nlm.nih.gov/9097506/</t>
  </si>
  <si>
    <t xml:space="preserve">R9</t>
  </si>
  <si>
    <t xml:space="preserve">American Diabetes Association. Diagnosis and Classification of Diabetes: Standards of Care in Diabetes (bản hiện hành).</t>
  </si>
  <si>
    <t xml:space="preserve">https://diabetesjournals.org/care</t>
  </si>
  <si>
    <t xml:space="preserve">[CẦN XÁC MINH] năm và trang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</si>
</sst>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Times New Roman"/>
      <family val="0"/>
      <charset val="1"/>
    </font>
    <font>
      <sz val="11"/>
      <name val="Times New Roman"/>
      <family val="0"/>
      <charset val="1"/>
    </font>
    <font>
      <b val="true"/>
      <sz val="12"/>
      <name val="Times New Roman"/>
      <family val="0"/>
      <charset val="1"/>
    </font>
    <font>
      <b val="true"/>
      <sz val="11"/>
      <name val="Times New Roman"/>
      <family val="0"/>
      <charset val="1"/>
    </font>
    <font>
      <i val="true"/>
      <sz val="10"/>
      <color rgb="FF404040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EDEDED"/>
      </patternFill>
    </fill>
    <fill>
      <patternFill patternType="solid">
        <fgColor rgb="FFEDEDED"/>
        <bgColor rgb="FFD9E2F3"/>
      </patternFill>
    </fill>
    <fill>
      <patternFill patternType="solid">
        <fgColor rgb="FFFFF2CC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48" hidden="false" customHeight="tru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3</v>
      </c>
    </row>
    <row r="6" customFormat="false" ht="48" hidden="false" customHeight="tru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2" t="s">
        <v>6</v>
      </c>
    </row>
    <row r="10" customFormat="false" ht="48" hidden="false" customHeight="true" outlineLevel="0" collapsed="false">
      <c r="A10" s="2" t="s">
        <v>7</v>
      </c>
    </row>
    <row r="11" customFormat="false" ht="48" hidden="false" customHeight="tru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11</v>
      </c>
    </row>
    <row r="16" customFormat="false" ht="48" hidden="false" customHeight="true" outlineLevel="0" collapsed="false">
      <c r="A16" s="2" t="s">
        <v>12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3" t="s">
        <v>13</v>
      </c>
    </row>
    <row r="19" customFormat="false" ht="1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3" t="s">
        <v>17</v>
      </c>
    </row>
    <row r="24" customFormat="false" ht="48" hidden="false" customHeight="true" outlineLevel="0" collapsed="false">
      <c r="A24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40"/>
    <col collapsed="false" customWidth="true" hidden="false" outlineLevel="0" max="7" min="7" style="0" width="46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36"/>
    <col collapsed="false" customWidth="true" hidden="false" outlineLevel="0" max="11" min="11" style="0" width="24"/>
    <col collapsed="false" customWidth="true" hidden="false" outlineLevel="0" max="12" min="12" style="0" width="26"/>
  </cols>
  <sheetData>
    <row r="1" customFormat="false" ht="25.35" hidden="false" customHeight="false" outlineLevel="0" collapsed="false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29</v>
      </c>
      <c r="L1" s="4" t="s">
        <v>30</v>
      </c>
    </row>
    <row r="2" customFormat="false" ht="35.05" hidden="false" customHeight="false" outlineLevel="0" collapsed="false">
      <c r="A2" s="5" t="n">
        <v>1</v>
      </c>
      <c r="B2" s="5" t="s">
        <v>31</v>
      </c>
      <c r="C2" s="5" t="s">
        <v>32</v>
      </c>
      <c r="D2" s="5" t="s">
        <v>33</v>
      </c>
      <c r="E2" s="5" t="s">
        <v>34</v>
      </c>
      <c r="F2" s="5" t="s">
        <v>35</v>
      </c>
      <c r="G2" s="6" t="s">
        <v>36</v>
      </c>
      <c r="H2" s="6" t="s">
        <v>37</v>
      </c>
      <c r="I2" s="7"/>
      <c r="J2" s="7"/>
      <c r="K2" s="7"/>
      <c r="L2" s="7"/>
    </row>
    <row r="3" customFormat="false" ht="37.3" hidden="false" customHeight="false" outlineLevel="0" collapsed="false">
      <c r="A3" s="5" t="n">
        <v>2</v>
      </c>
      <c r="B3" s="5" t="s">
        <v>38</v>
      </c>
      <c r="C3" s="5" t="s">
        <v>39</v>
      </c>
      <c r="D3" s="5" t="s">
        <v>40</v>
      </c>
      <c r="E3" s="5" t="s">
        <v>41</v>
      </c>
      <c r="F3" s="5" t="s">
        <v>42</v>
      </c>
      <c r="G3" s="6" t="s">
        <v>43</v>
      </c>
      <c r="H3" s="6" t="s">
        <v>44</v>
      </c>
      <c r="I3" s="7"/>
      <c r="J3" s="7"/>
      <c r="K3" s="7"/>
      <c r="L3" s="7"/>
    </row>
    <row r="4" customFormat="false" ht="37.3" hidden="false" customHeight="false" outlineLevel="0" collapsed="false">
      <c r="A4" s="5" t="n">
        <v>3</v>
      </c>
      <c r="B4" s="5" t="s">
        <v>38</v>
      </c>
      <c r="C4" s="5" t="s">
        <v>45</v>
      </c>
      <c r="D4" s="5" t="s">
        <v>46</v>
      </c>
      <c r="E4" s="5" t="s">
        <v>47</v>
      </c>
      <c r="F4" s="5" t="s">
        <v>48</v>
      </c>
      <c r="G4" s="6" t="s">
        <v>49</v>
      </c>
      <c r="H4" s="6" t="s">
        <v>50</v>
      </c>
      <c r="I4" s="7"/>
      <c r="J4" s="7"/>
      <c r="K4" s="7"/>
      <c r="L4" s="7"/>
    </row>
    <row r="5" customFormat="false" ht="35.05" hidden="false" customHeight="false" outlineLevel="0" collapsed="false">
      <c r="A5" s="5" t="n">
        <v>4</v>
      </c>
      <c r="B5" s="5" t="s">
        <v>38</v>
      </c>
      <c r="C5" s="5" t="s">
        <v>51</v>
      </c>
      <c r="D5" s="5" t="s">
        <v>52</v>
      </c>
      <c r="E5" s="5" t="s">
        <v>53</v>
      </c>
      <c r="F5" s="5" t="s">
        <v>54</v>
      </c>
      <c r="G5" s="6" t="s">
        <v>55</v>
      </c>
      <c r="H5" s="6" t="s">
        <v>50</v>
      </c>
      <c r="I5" s="7"/>
      <c r="J5" s="7"/>
      <c r="K5" s="7"/>
      <c r="L5" s="7"/>
    </row>
    <row r="6" customFormat="false" ht="25.35" hidden="false" customHeight="false" outlineLevel="0" collapsed="false">
      <c r="A6" s="5" t="n">
        <v>5</v>
      </c>
      <c r="B6" s="5" t="s">
        <v>38</v>
      </c>
      <c r="C6" s="5" t="s">
        <v>56</v>
      </c>
      <c r="D6" s="5" t="s">
        <v>57</v>
      </c>
      <c r="E6" s="5" t="s">
        <v>58</v>
      </c>
      <c r="F6" s="5" t="s">
        <v>59</v>
      </c>
      <c r="G6" s="6" t="s">
        <v>60</v>
      </c>
      <c r="H6" s="6" t="s">
        <v>50</v>
      </c>
      <c r="I6" s="7"/>
      <c r="J6" s="7"/>
      <c r="K6" s="7"/>
      <c r="L6" s="7"/>
    </row>
    <row r="7" customFormat="false" ht="46.25" hidden="false" customHeight="false" outlineLevel="0" collapsed="false">
      <c r="A7" s="5" t="n">
        <v>6</v>
      </c>
      <c r="B7" s="5" t="s">
        <v>61</v>
      </c>
      <c r="C7" s="5" t="s">
        <v>62</v>
      </c>
      <c r="D7" s="5" t="s">
        <v>63</v>
      </c>
      <c r="E7" s="5" t="s">
        <v>64</v>
      </c>
      <c r="F7" s="5" t="s">
        <v>65</v>
      </c>
      <c r="G7" s="6" t="s">
        <v>66</v>
      </c>
      <c r="H7" s="6" t="s">
        <v>67</v>
      </c>
      <c r="I7" s="7"/>
      <c r="J7" s="7"/>
      <c r="K7" s="7"/>
      <c r="L7" s="7"/>
    </row>
    <row r="8" customFormat="false" ht="37.3" hidden="false" customHeight="false" outlineLevel="0" collapsed="false">
      <c r="A8" s="5" t="n">
        <v>7</v>
      </c>
      <c r="B8" s="5" t="s">
        <v>61</v>
      </c>
      <c r="C8" s="5" t="s">
        <v>68</v>
      </c>
      <c r="D8" s="5" t="s">
        <v>69</v>
      </c>
      <c r="E8" s="5" t="s">
        <v>70</v>
      </c>
      <c r="F8" s="5" t="s">
        <v>71</v>
      </c>
      <c r="G8" s="6" t="s">
        <v>72</v>
      </c>
      <c r="H8" s="6" t="s">
        <v>73</v>
      </c>
      <c r="I8" s="7"/>
      <c r="J8" s="7"/>
      <c r="K8" s="7"/>
      <c r="L8" s="7"/>
    </row>
    <row r="9" customFormat="false" ht="37.3" hidden="false" customHeight="false" outlineLevel="0" collapsed="false">
      <c r="A9" s="5" t="n">
        <v>8</v>
      </c>
      <c r="B9" s="5" t="s">
        <v>61</v>
      </c>
      <c r="C9" s="5" t="s">
        <v>74</v>
      </c>
      <c r="D9" s="5" t="s">
        <v>75</v>
      </c>
      <c r="E9" s="5" t="s">
        <v>76</v>
      </c>
      <c r="F9" s="5" t="s">
        <v>77</v>
      </c>
      <c r="G9" s="6" t="s">
        <v>78</v>
      </c>
      <c r="H9" s="6" t="s">
        <v>79</v>
      </c>
      <c r="I9" s="7"/>
      <c r="J9" s="7"/>
      <c r="K9" s="7"/>
      <c r="L9" s="7"/>
    </row>
    <row r="10" customFormat="false" ht="46.25" hidden="false" customHeight="false" outlineLevel="0" collapsed="false">
      <c r="A10" s="5" t="n">
        <v>9</v>
      </c>
      <c r="B10" s="5" t="s">
        <v>61</v>
      </c>
      <c r="C10" s="5" t="s">
        <v>80</v>
      </c>
      <c r="D10" s="5" t="s">
        <v>81</v>
      </c>
      <c r="E10" s="5" t="s">
        <v>82</v>
      </c>
      <c r="F10" s="5" t="s">
        <v>83</v>
      </c>
      <c r="G10" s="6" t="s">
        <v>84</v>
      </c>
      <c r="H10" s="6" t="s">
        <v>85</v>
      </c>
      <c r="I10" s="7"/>
      <c r="J10" s="7"/>
      <c r="K10" s="7"/>
      <c r="L10" s="7"/>
    </row>
    <row r="11" customFormat="false" ht="35.05" hidden="false" customHeight="false" outlineLevel="0" collapsed="false">
      <c r="A11" s="5" t="n">
        <v>10</v>
      </c>
      <c r="B11" s="5" t="s">
        <v>61</v>
      </c>
      <c r="C11" s="5" t="s">
        <v>86</v>
      </c>
      <c r="D11" s="5" t="s">
        <v>87</v>
      </c>
      <c r="E11" s="5" t="s">
        <v>88</v>
      </c>
      <c r="F11" s="5" t="s">
        <v>89</v>
      </c>
      <c r="G11" s="6" t="s">
        <v>90</v>
      </c>
      <c r="H11" s="6" t="s">
        <v>91</v>
      </c>
      <c r="I11" s="7"/>
      <c r="J11" s="7"/>
      <c r="K11" s="7"/>
      <c r="L11" s="7"/>
    </row>
    <row r="12" customFormat="false" ht="35.05" hidden="false" customHeight="false" outlineLevel="0" collapsed="false">
      <c r="A12" s="5" t="n">
        <v>11</v>
      </c>
      <c r="B12" s="5" t="s">
        <v>92</v>
      </c>
      <c r="C12" s="5" t="s">
        <v>93</v>
      </c>
      <c r="D12" s="5" t="s">
        <v>94</v>
      </c>
      <c r="E12" s="5" t="s">
        <v>95</v>
      </c>
      <c r="F12" s="5" t="s">
        <v>96</v>
      </c>
      <c r="G12" s="6" t="s">
        <v>97</v>
      </c>
      <c r="H12" s="6" t="s">
        <v>98</v>
      </c>
      <c r="I12" s="7"/>
      <c r="J12" s="7"/>
      <c r="K12" s="7"/>
      <c r="L12" s="7"/>
    </row>
    <row r="13" customFormat="false" ht="25.35" hidden="false" customHeight="false" outlineLevel="0" collapsed="false">
      <c r="A13" s="5" t="n">
        <v>12</v>
      </c>
      <c r="B13" s="5" t="s">
        <v>92</v>
      </c>
      <c r="C13" s="5" t="s">
        <v>99</v>
      </c>
      <c r="D13" s="5" t="s">
        <v>100</v>
      </c>
      <c r="E13" s="5" t="s">
        <v>101</v>
      </c>
      <c r="F13" s="5" t="s">
        <v>102</v>
      </c>
      <c r="G13" s="6" t="s">
        <v>103</v>
      </c>
      <c r="H13" s="6" t="s">
        <v>50</v>
      </c>
      <c r="I13" s="7"/>
      <c r="J13" s="7"/>
      <c r="K13" s="7"/>
      <c r="L13" s="7"/>
    </row>
    <row r="14" customFormat="false" ht="25.35" hidden="false" customHeight="false" outlineLevel="0" collapsed="false">
      <c r="A14" s="5" t="n">
        <v>13</v>
      </c>
      <c r="B14" s="5" t="s">
        <v>92</v>
      </c>
      <c r="C14" s="5" t="s">
        <v>104</v>
      </c>
      <c r="D14" s="5" t="s">
        <v>105</v>
      </c>
      <c r="E14" s="5" t="s">
        <v>106</v>
      </c>
      <c r="F14" s="5" t="s">
        <v>107</v>
      </c>
      <c r="G14" s="6" t="s">
        <v>108</v>
      </c>
      <c r="H14" s="6" t="s">
        <v>109</v>
      </c>
      <c r="I14" s="7"/>
      <c r="J14" s="7"/>
      <c r="K14" s="7"/>
      <c r="L14" s="7"/>
    </row>
    <row r="15" customFormat="false" ht="25.35" hidden="false" customHeight="false" outlineLevel="0" collapsed="false">
      <c r="A15" s="5" t="n">
        <v>14</v>
      </c>
      <c r="B15" s="5" t="s">
        <v>92</v>
      </c>
      <c r="C15" s="5" t="s">
        <v>110</v>
      </c>
      <c r="D15" s="5" t="s">
        <v>111</v>
      </c>
      <c r="E15" s="5" t="s">
        <v>112</v>
      </c>
      <c r="F15" s="5" t="s">
        <v>113</v>
      </c>
      <c r="G15" s="6" t="s">
        <v>114</v>
      </c>
      <c r="H15" s="6" t="s">
        <v>50</v>
      </c>
      <c r="I15" s="7"/>
      <c r="J15" s="7"/>
      <c r="K15" s="7"/>
      <c r="L15" s="7"/>
    </row>
    <row r="16" customFormat="false" ht="35.05" hidden="false" customHeight="false" outlineLevel="0" collapsed="false">
      <c r="A16" s="5" t="n">
        <v>15</v>
      </c>
      <c r="B16" s="5" t="s">
        <v>92</v>
      </c>
      <c r="C16" s="5" t="s">
        <v>115</v>
      </c>
      <c r="D16" s="5" t="s">
        <v>116</v>
      </c>
      <c r="E16" s="5" t="s">
        <v>117</v>
      </c>
      <c r="F16" s="5" t="s">
        <v>118</v>
      </c>
      <c r="G16" s="6" t="s">
        <v>119</v>
      </c>
      <c r="H16" s="6" t="s">
        <v>50</v>
      </c>
      <c r="I16" s="7"/>
      <c r="J16" s="7"/>
      <c r="K16" s="7"/>
      <c r="L16" s="7"/>
    </row>
    <row r="17" customFormat="false" ht="25.35" hidden="false" customHeight="false" outlineLevel="0" collapsed="false">
      <c r="A17" s="5" t="n">
        <v>16</v>
      </c>
      <c r="B17" s="5" t="s">
        <v>92</v>
      </c>
      <c r="C17" s="5" t="s">
        <v>120</v>
      </c>
      <c r="D17" s="5" t="s">
        <v>121</v>
      </c>
      <c r="E17" s="5" t="s">
        <v>122</v>
      </c>
      <c r="F17" s="5" t="s">
        <v>123</v>
      </c>
      <c r="G17" s="6" t="s">
        <v>124</v>
      </c>
      <c r="H17" s="6" t="s">
        <v>50</v>
      </c>
      <c r="I17" s="7"/>
      <c r="J17" s="7"/>
      <c r="K17" s="7"/>
      <c r="L17" s="7"/>
    </row>
    <row r="19" customFormat="false" ht="15" hidden="false" customHeight="false" outlineLevel="0" collapsed="false">
      <c r="A19" s="8" t="s">
        <v>125</v>
      </c>
      <c r="C19" s="9" t="str">
        <f aca="false">COUNTA(I2:I17)&amp;" / 16 dòng"</f>
        <v>0 / 16 dòng</v>
      </c>
    </row>
    <row r="20" customFormat="false" ht="15" hidden="false" customHeight="false" outlineLevel="0" collapsed="false">
      <c r="A20" s="8" t="s">
        <v>126</v>
      </c>
      <c r="C20" s="9" t="n">
        <f aca="false">COUNTIF(I2:I17,"Sửa")</f>
        <v>0</v>
      </c>
    </row>
  </sheetData>
  <dataValidations count="1">
    <dataValidation allowBlank="true" errorStyle="stop" operator="between" showDropDown="false" showErrorMessage="false" showInputMessage="false" sqref="I2:I17" type="list">
      <formula1>"Giữ,Sửa"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5"/>
    <col collapsed="false" customWidth="true" hidden="false" outlineLevel="0" max="3" min="3" style="0" width="50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4" t="s">
        <v>19</v>
      </c>
      <c r="B1" s="4" t="s">
        <v>127</v>
      </c>
      <c r="C1" s="4" t="s">
        <v>128</v>
      </c>
      <c r="D1" s="4" t="s">
        <v>129</v>
      </c>
    </row>
    <row r="2" customFormat="false" ht="90" hidden="false" customHeight="true" outlineLevel="0" collapsed="false">
      <c r="A2" s="5" t="n">
        <v>1</v>
      </c>
      <c r="B2" s="5" t="s">
        <v>130</v>
      </c>
      <c r="C2" s="5" t="s">
        <v>131</v>
      </c>
      <c r="D2" s="7"/>
    </row>
    <row r="3" customFormat="false" ht="90" hidden="false" customHeight="true" outlineLevel="0" collapsed="false">
      <c r="A3" s="5" t="n">
        <v>2</v>
      </c>
      <c r="B3" s="5" t="s">
        <v>132</v>
      </c>
      <c r="C3" s="5" t="s">
        <v>133</v>
      </c>
      <c r="D3" s="7"/>
    </row>
    <row r="4" customFormat="false" ht="90" hidden="false" customHeight="true" outlineLevel="0" collapsed="false">
      <c r="A4" s="5" t="n">
        <v>3</v>
      </c>
      <c r="B4" s="5" t="s">
        <v>134</v>
      </c>
      <c r="C4" s="5" t="s">
        <v>135</v>
      </c>
      <c r="D4" s="7"/>
    </row>
    <row r="5" customFormat="false" ht="90" hidden="false" customHeight="true" outlineLevel="0" collapsed="false">
      <c r="A5" s="5" t="n">
        <v>4</v>
      </c>
      <c r="B5" s="5" t="s">
        <v>136</v>
      </c>
      <c r="C5" s="5" t="s">
        <v>137</v>
      </c>
      <c r="D5" s="7"/>
    </row>
    <row r="7" customFormat="false" ht="15" hidden="false" customHeight="false" outlineLevel="0" collapsed="false">
      <c r="B7" s="8" t="s">
        <v>138</v>
      </c>
      <c r="C7" s="10"/>
    </row>
    <row r="8" customFormat="false" ht="15" hidden="false" customHeight="false" outlineLevel="0" collapsed="false">
      <c r="B8" s="8" t="s">
        <v>139</v>
      </c>
      <c r="C8" s="11" t="s">
        <v>140</v>
      </c>
    </row>
    <row r="9" customFormat="false" ht="15" hidden="false" customHeight="false" outlineLevel="0" collapsed="false">
      <c r="B9" s="8" t="s">
        <v>141</v>
      </c>
      <c r="C9" s="10"/>
    </row>
    <row r="10" customFormat="false" ht="15" hidden="false" customHeight="false" outlineLevel="0" collapsed="false">
      <c r="B10" s="8" t="s">
        <v>142</v>
      </c>
      <c r="C10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0"/>
    <col collapsed="false" customWidth="true" hidden="false" outlineLevel="0" max="3" min="3" style="0" width="55"/>
    <col collapsed="false" customWidth="true" hidden="false" outlineLevel="0" max="4" min="4" style="0" width="30"/>
  </cols>
  <sheetData>
    <row r="1" customFormat="false" ht="15" hidden="false" customHeight="false" outlineLevel="0" collapsed="false">
      <c r="A1" s="4" t="s">
        <v>143</v>
      </c>
      <c r="B1" s="4" t="s">
        <v>144</v>
      </c>
      <c r="C1" s="4" t="s">
        <v>145</v>
      </c>
      <c r="D1" s="4" t="s">
        <v>30</v>
      </c>
    </row>
    <row r="2" customFormat="false" ht="25.35" hidden="false" customHeight="false" outlineLevel="0" collapsed="false">
      <c r="A2" s="5" t="s">
        <v>146</v>
      </c>
      <c r="B2" s="5" t="s">
        <v>147</v>
      </c>
      <c r="C2" s="5" t="s">
        <v>148</v>
      </c>
      <c r="D2" s="5"/>
    </row>
    <row r="3" customFormat="false" ht="25.35" hidden="false" customHeight="false" outlineLevel="0" collapsed="false">
      <c r="A3" s="5" t="s">
        <v>149</v>
      </c>
      <c r="B3" s="5" t="s">
        <v>150</v>
      </c>
      <c r="C3" s="5" t="s">
        <v>151</v>
      </c>
      <c r="D3" s="5" t="s">
        <v>152</v>
      </c>
    </row>
    <row r="4" customFormat="false" ht="25.35" hidden="false" customHeight="false" outlineLevel="0" collapsed="false">
      <c r="A4" s="5" t="s">
        <v>153</v>
      </c>
      <c r="B4" s="5" t="s">
        <v>154</v>
      </c>
      <c r="C4" s="5" t="s">
        <v>155</v>
      </c>
      <c r="D4" s="5" t="s">
        <v>156</v>
      </c>
    </row>
    <row r="5" customFormat="false" ht="25.35" hidden="false" customHeight="false" outlineLevel="0" collapsed="false">
      <c r="A5" s="5" t="s">
        <v>157</v>
      </c>
      <c r="B5" s="5" t="s">
        <v>158</v>
      </c>
      <c r="C5" s="5" t="s">
        <v>159</v>
      </c>
      <c r="D5" s="5" t="s">
        <v>156</v>
      </c>
    </row>
    <row r="6" customFormat="false" ht="25.35" hidden="false" customHeight="false" outlineLevel="0" collapsed="false">
      <c r="A6" s="5" t="s">
        <v>160</v>
      </c>
      <c r="B6" s="5" t="s">
        <v>161</v>
      </c>
      <c r="C6" s="5" t="s">
        <v>162</v>
      </c>
      <c r="D6" s="5"/>
    </row>
    <row r="7" customFormat="false" ht="25.35" hidden="false" customHeight="false" outlineLevel="0" collapsed="false">
      <c r="A7" s="5" t="s">
        <v>163</v>
      </c>
      <c r="B7" s="5" t="s">
        <v>164</v>
      </c>
      <c r="C7" s="5" t="s">
        <v>165</v>
      </c>
      <c r="D7" s="5"/>
    </row>
    <row r="8" customFormat="false" ht="25.35" hidden="false" customHeight="false" outlineLevel="0" collapsed="false">
      <c r="A8" s="5" t="s">
        <v>166</v>
      </c>
      <c r="B8" s="5" t="s">
        <v>167</v>
      </c>
      <c r="C8" s="5" t="s">
        <v>168</v>
      </c>
      <c r="D8" s="5" t="s">
        <v>156</v>
      </c>
    </row>
    <row r="9" customFormat="false" ht="25.35" hidden="false" customHeight="false" outlineLevel="0" collapsed="false">
      <c r="A9" s="5" t="s">
        <v>169</v>
      </c>
      <c r="B9" s="5" t="s">
        <v>170</v>
      </c>
      <c r="C9" s="5" t="s">
        <v>171</v>
      </c>
      <c r="D9" s="5"/>
    </row>
    <row r="10" customFormat="false" ht="25.35" hidden="false" customHeight="false" outlineLevel="0" collapsed="false">
      <c r="A10" s="5" t="s">
        <v>172</v>
      </c>
      <c r="B10" s="5" t="s">
        <v>173</v>
      </c>
      <c r="C10" s="5" t="s">
        <v>174</v>
      </c>
      <c r="D10" s="5" t="s">
        <v>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2026-10-29T07:27:42Z</dcterms:created>
  <dc:creator>openpyxl</dc:creator>
  <dc:description/>
  <dc:language>en-US</dc:language>
  <cp:lastModifiedBy/>
  <dcterms:modified xsi:type="dcterms:W3CDTF">2026-10-29T07:27:42Z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