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eseach.26\Van-Ykhoa\JBI_Run(Journal of Biomedical Informatics)\V1\"/>
    </mc:Choice>
  </mc:AlternateContent>
  <xr:revisionPtr revIDLastSave="0" documentId="13_ncr:1_{3C023564-74D8-4146-B938-602C846D1372}" xr6:coauthVersionLast="47" xr6:coauthVersionMax="47" xr10:uidLastSave="{00000000-0000-0000-0000-000000000000}"/>
  <bookViews>
    <workbookView xWindow="-98" yWindow="-98" windowWidth="21795" windowHeight="14235" tabRatio="500" activeTab="1" xr2:uid="{00000000-000D-0000-FFFF-FFFF00000000}"/>
  </bookViews>
  <sheets>
    <sheet name="Huong dan" sheetId="1" r:id="rId1"/>
    <sheet name="Phieu duyet" sheetId="2" r:id="rId2"/>
    <sheet name="Cau hoi lam sang" sheetId="3" r:id="rId3"/>
    <sheet name="Nguo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2" l="1"/>
  <c r="C19" i="2"/>
</calcChain>
</file>

<file path=xl/sharedStrings.xml><?xml version="1.0" encoding="utf-8"?>
<sst xmlns="http://schemas.openxmlformats.org/spreadsheetml/2006/main" count="262" uniqueCount="206">
  <si>
    <t>PHIẾU DUYỆT HÀM THÀNH VIÊN CÁC KHÁI NIỆM</t>
  </si>
  <si>
    <t>Bài báo: Keep the Grades, Choose the Product: Auditing Structure and Multi-hop t-norm Inference in a Population Fuzzy Knowledge Graph of Depressive Symptoms (dự kiến gửi Journal of Biomedical Informatics)</t>
  </si>
  <si>
    <t>Người duyệt: Phan Thị Vân An (chuyên gia tâm lý lâm sàng)   ·   Người gửi: Trương Hải Bằng</t>
  </si>
  <si>
    <t>Mục đích</t>
  </si>
  <si>
    <t>Đồ thị tri thức mờ gồm 24 khái niệm trích từ NHANES 2007–2018. Mỗi khái niệm có một hàm thành viên μ ∈ [0, 1] chuyển câu trả lời khảo sát thành mức độ. 9 triệu chứng PHQ-9 dùng thang chuẩn; 15 yếu tố nguy cơ dùng ngưỡng do tác giả đặt và cần chuyên gia lâm sàng duyệt trước khi chạy lại toàn bộ pipeline.</t>
  </si>
  <si>
    <t>Cách điền (sheet 'Phieu duyet')</t>
  </si>
  <si>
    <t>1. Đọc cột F (hàm hiện tại, đúng như mã nguồn clean2.py đang chạy).</t>
  </si>
  <si>
    <t>2. Cột G–H (nền xám) là GỢI Ý THAM KHẢO do trợ lý soạn, kèm nguồn. Đây không phải ý kiến của chuyên gia; cô có thể bỏ qua hoàn toàn.</t>
  </si>
  <si>
    <t>3. Chỉ điền các ô nền vàng: cột I chọn 'Giữ' hoặc 'Sửa' (danh sách thả xuống); nếu 'Sửa', ghi hàm/ngưỡng mới ở cột J theo dạng ở ví dụ dưới; cột K ghi nguồn cô dựa vào; cột L ghi chú tự do.</t>
  </si>
  <si>
    <t>4. Sheet 'Cau hoi lam sang': trả lời ngắn 4 câu hỏi về diễn giải kết quả (vài câu mỗi ý là đủ).</t>
  </si>
  <si>
    <t>5. Ký tên, ghi ngày ở cuối sheet 'Cau hoi lam sang' và gửi lại file.</t>
  </si>
  <si>
    <t>Ví dụ một dòng đã điền (minh họa định dạng, không phải đề xuất)</t>
  </si>
  <si>
    <t>Khái niệm: short_sleep  |  Quyết định: Sửa  |  Hàm mới: 0 khi ngủ ≥ 7 giờ, 1 khi ngủ ≤ 6 giờ, tuyến tính ở giữa  |  Nguồn: Watson et al., Sleep 2015  |  Ghi chú: ngưỡng 5 giờ quá chặt cho mẫu dân số chung</t>
  </si>
  <si>
    <t>Cách viết hàm mới</t>
  </si>
  <si>
    <t>• Hàm dốc tuyến tính: '0 tại a, 1 tại b' (ví dụ BMI: 0 tại 25, 1 tại 30).</t>
  </si>
  <si>
    <t>• Hàm bậc thang theo mã trả lời: liệt kê mã → giá trị (ví dụ: hút hằng ngày = 1; thỉnh thoảng = 0,5; không = 0).</t>
  </si>
  <si>
    <t>• Nếu cần tách theo giới hoặc tuổi, ghi rõ từng nhóm.</t>
  </si>
  <si>
    <t>Sau khi nhận phiếu</t>
  </si>
  <si>
    <t>Tác giả sửa clean2.py theo phiếu và chạy lại toàn bộ pipeline theo README (clean2 → analysis2 main/nulls/rq3 → power2 → nresp_check → stats2). Mọi con số trong bài lấy từ results2/paper_stats.json; không sửa số bằng tay. Phiếu đã điền được lưu làm hồ sơ minh chứng cho mục Methods và CRediT.</t>
  </si>
  <si>
    <t>STT</t>
  </si>
  <si>
    <t>Nhóm</t>
  </si>
  <si>
    <t>Khái niệm (mã)</t>
  </si>
  <si>
    <t>Tên tiếng Việt</t>
  </si>
  <si>
    <t>Biến NHANES</t>
  </si>
  <si>
    <t>Hàm hiện tại (μ = 0 → μ = 1)</t>
  </si>
  <si>
    <t>Gợi ý tham khảo (trợ lý soạn, không phải ý kiến chuyên gia)</t>
  </si>
  <si>
    <t>Nguồn của gợi ý</t>
  </si>
  <si>
    <t>Quyết định (Giữ / Sửa)</t>
  </si>
  <si>
    <t>Hàm / ngưỡng mới (nếu Sửa)</t>
  </si>
  <si>
    <t>Nguồn chuyên gia dựa vào</t>
  </si>
  <si>
    <t>Ghi chú</t>
  </si>
  <si>
    <t>Triệu chứng</t>
  </si>
  <si>
    <t>9 mục PHQ-9 (anhedonia … suicidal_ideation)</t>
  </si>
  <si>
    <t>9 triệu chứng PHQ-9</t>
  </si>
  <si>
    <t>DPQ010–DPQ090</t>
  </si>
  <si>
    <t>Điểm mục 0–3 chia cho 3 (0; 0,33; 0,67; 1). Không đặt ngưỡng.</t>
  </si>
  <si>
    <t>Giữ: đây là thang chuẩn của công cụ. Lưu ý mục 9 (ý nghĩ tự hại) có tỉ lệ dương thấp nên các cạnh nối với nó kém ổn định hơn.</t>
  </si>
  <si>
    <t>Kroenke et al. 2001 [R1]</t>
  </si>
  <si>
    <t>Kinh tế–xã hội</t>
  </si>
  <si>
    <t>low_income</t>
  </si>
  <si>
    <t>Thu nhập thấp</t>
  </si>
  <si>
    <t>INDFMPIR (tỉ lệ thu nhập gia đình/ngưỡng nghèo)</t>
  </si>
  <si>
    <t>0 khi PIR ≥ 3; 1 khi PIR ≤ 1; tuyến tính ở giữa.</t>
  </si>
  <si>
    <t>Cân nhắc neo theo mốc thường dùng trong nghiên cứu NHANES: 1 khi PIR &lt; 1,3; 0 khi PIR ≥ 3,5 [CẦN XÁC MINH mốc trong nguồn].</t>
  </si>
  <si>
    <t>Nghiên cứu thu nhập và triệu chứng trầm cảm NHANES 2005–2016 [R2]</t>
  </si>
  <si>
    <t>low_education</t>
  </si>
  <si>
    <t>Học vấn thấp</t>
  </si>
  <si>
    <t>DMDEDUC2 (người ≥ 20 tuổi)</t>
  </si>
  <si>
    <t>Dưới lớp 9 = 1; lớp 9–11 = 1; tốt nghiệp THPT/GED = 0,5; một phần cao đẳng/đại học = 0; tốt nghiệp đại học trở lên = 0.</t>
  </si>
  <si>
    <t>Có thể giữ. Phương án khác: 'một phần cao đẳng' = 0,25 để thang có bốn bậc.</t>
  </si>
  <si>
    <t>—</t>
  </si>
  <si>
    <t>no_partner</t>
  </si>
  <si>
    <t>Không có bạn đời</t>
  </si>
  <si>
    <t>DMDMARTL</t>
  </si>
  <si>
    <t>Góa, ly hôn, ly thân, chưa từng kết hôn = 1; đang kết hôn hoặc sống chung = 0.</t>
  </si>
  <si>
    <t>Cân nhắc tách 'chưa từng kết hôn' (ví dụ 0,5) khỏi nhóm mất bạn đời (góa, ly hôn, ly thân = 1), vì hai nhóm khác nhau về ý nghĩa lâm sàng.</t>
  </si>
  <si>
    <t>uninsured</t>
  </si>
  <si>
    <t>Không có bảo hiểm y tế</t>
  </si>
  <si>
    <t>HIQ011</t>
  </si>
  <si>
    <t>Không có bảo hiểm = 1; có = 0.</t>
  </si>
  <si>
    <t>Giữ (biến nhị phân theo định nghĩa).</t>
  </si>
  <si>
    <t>Lối sống</t>
  </si>
  <si>
    <t>smoking</t>
  </si>
  <si>
    <t>Hút thuốc</t>
  </si>
  <si>
    <t>SMQ020, SMQ040</t>
  </si>
  <si>
    <t>Hút hằng ngày = 1; thỉnh thoảng = 0,5; đã bỏ = 0; chưa từng hút (&lt; 100 điếu) = 0.</t>
  </si>
  <si>
    <t>Có thể giữ. Theo định nghĩa CDC, cả 'hằng ngày' và 'thỉnh thoảng' đều là người đang hút; mức 0,5 là lựa chọn phân bậc của tác giả. Cân nhắc 'đã bỏ' = 0,25 nếu muốn phản ánh tiền sử.</t>
  </si>
  <si>
    <t>Định nghĩa tình trạng hút thuốc của NHIS/CDC [R3]</t>
  </si>
  <si>
    <t>heavy_drinking</t>
  </si>
  <si>
    <t>Uống rượu nhiều</t>
  </si>
  <si>
    <t>ALQ121/ALQ120Q, ALQ130</t>
  </si>
  <si>
    <t>Không uống trong năm = 0; với người có uống: 0 khi ≤ 2 ly/ngày uống, 1 khi ≥ 5 ly, tuyến tính ở giữa. Không tách theo giới.</t>
  </si>
  <si>
    <t>Cân nhắc tách theo giới theo NIAAA (uống nhiều: nam &gt; 4 ly/ngày, nữ &gt; 3 ly/ngày). Ví dụ: nam 0 tại 2, 1 tại 5; nữ 0 tại 1, 1 tại 4. Cần thêm biến giới RIAGENDR.</t>
  </si>
  <si>
    <t>NIAAA, Drinking Levels Defined [R4]</t>
  </si>
  <si>
    <t>inactivity</t>
  </si>
  <si>
    <t>Ít vận động</t>
  </si>
  <si>
    <t>PAQ605, PAQ620, PAQ650, PAQ665</t>
  </si>
  <si>
    <t>Có vận động mạnh (công việc hoặc giải trí) = 0; chỉ vận động vừa = 0,5; không vận động = 1.</t>
  </si>
  <si>
    <t>Có thể giữ. Các câu PAQ chỉ hỏi có/không (≥ 10 phút liên tục), không đủ để tính 150 phút/tuần theo khuyến nghị; nên ghi là hạn chế.</t>
  </si>
  <si>
    <t>Physical Activity Guidelines for Americans, 2nd ed. [R5]</t>
  </si>
  <si>
    <t>short_sleep</t>
  </si>
  <si>
    <t>Ngủ ngắn</t>
  </si>
  <si>
    <t>SLD012 / SLD010H</t>
  </si>
  <si>
    <t>0 khi ngủ ≥ 7 giờ; 1 khi ngủ ≤ 5 giờ; tuyến tính ở giữa.</t>
  </si>
  <si>
    <t>Mốc 7 giờ khớp khuyến nghị AASM/SRS. Cân nhắc mốc trên 6 giờ thay vì 5. Ngủ dài (&gt; 9 giờ) cũng liên quan trầm cảm nhưng chưa có trong mô hình; có thể thêm khái niệm long_sleep.</t>
  </si>
  <si>
    <t>Watson et al. 2015 [R6]</t>
  </si>
  <si>
    <t>obesity</t>
  </si>
  <si>
    <t>Béo phì</t>
  </si>
  <si>
    <t>BMXBMI (đo trực tiếp)</t>
  </si>
  <si>
    <t>0 khi BMI ≤ 25; 1 khi BMI ≥ 35; tuyến tính (μ = 0,5 tại BMI 30).</t>
  </si>
  <si>
    <t>Có thể giữ (μ = 0,5 trùng mốc béo phì WHO). Phương án khác: 0 tại 25, 1 tại 30, nếu muốn μ = 1 cho mọi người béo phì.</t>
  </si>
  <si>
    <t>WHO Technical Report Series 894 [R7]</t>
  </si>
  <si>
    <t>Sức khỏe</t>
  </si>
  <si>
    <t>poor_self_rated_health</t>
  </si>
  <si>
    <t>Sức khỏe tự đánh giá kém</t>
  </si>
  <si>
    <t>HSD010 (1 = rất tốt … 5 = kém)</t>
  </si>
  <si>
    <t>Tuyến tính: 1 → 0; 2 → 0,25; 3 → 0,5; 4 → 0,75; 5 → 1.</t>
  </si>
  <si>
    <t>Có thể giữ. Nhiều nghiên cứu gộp 'trung bình/kém' thành nhóm nguy cơ; nếu chuyên gia muốn, dùng: 1–2 = 0; 3 = 0,33; 4 = 0,67; 5 = 1.</t>
  </si>
  <si>
    <t>Idler &amp; Benyamini 1997 [R8]</t>
  </si>
  <si>
    <t>hypertension</t>
  </si>
  <si>
    <t>Tăng huyết áp</t>
  </si>
  <si>
    <t>BPQ020</t>
  </si>
  <si>
    <t>Từng được bác sĩ nói bị tăng huyết áp = 1; không = 0.</t>
  </si>
  <si>
    <t>Giữ (tự báo cáo chẩn đoán).</t>
  </si>
  <si>
    <t>diabetes</t>
  </si>
  <si>
    <t>Đái tháo đường</t>
  </si>
  <si>
    <t>DIQ010</t>
  </si>
  <si>
    <t>Có chẩn đoán = 1; 'giáp ranh' (borderline) = 0,5; không = 0.</t>
  </si>
  <si>
    <t>Có thể giữ. 'Giáp ranh' tương ứng tiền đái tháo đường; cân nhắc 0,3–0,5.</t>
  </si>
  <si>
    <t>ADA, Standards of Care – Diagnosis and Classification [R9]</t>
  </si>
  <si>
    <t>cardiovascular</t>
  </si>
  <si>
    <t>Bệnh tim mạch</t>
  </si>
  <si>
    <t>MCQ160B, C, E, F</t>
  </si>
  <si>
    <t>Có ít nhất một trong: suy tim, bệnh mạch vành, nhồi máu cơ tim, đột quỵ = 1; không = 0.</t>
  </si>
  <si>
    <t>Giữ. Cân nhắc có nên tách đột quỵ (bệnh mạch máu não) ra không.</t>
  </si>
  <si>
    <t>cancer</t>
  </si>
  <si>
    <t>Ung thư</t>
  </si>
  <si>
    <t>MCQ220</t>
  </si>
  <si>
    <t>Từng được chẩn đoán ung thư bất kỳ = 1; không = 0.</t>
  </si>
  <si>
    <t>Cân nhắc loại trừ ung thư da không phải melanoma (dùng MCQ230 để xác định loại), vì nhóm này phổ biến và ít gánh nặng tâm lý.</t>
  </si>
  <si>
    <t>arthritis</t>
  </si>
  <si>
    <t>Viêm khớp</t>
  </si>
  <si>
    <t>MCQ160A</t>
  </si>
  <si>
    <t>Từng được bác sĩ nói bị viêm khớp = 1; không = 0.</t>
  </si>
  <si>
    <t>Giữ.</t>
  </si>
  <si>
    <t>Đã duyệt:</t>
  </si>
  <si>
    <t>Số dòng 'Sửa':</t>
  </si>
  <si>
    <t>Kết quả từ dữ liệu (pipeline hiện tại, trước khi duyệt)</t>
  </si>
  <si>
    <t>Câu hỏi cho chuyên gia</t>
  </si>
  <si>
    <t>Ý kiến chuyên gia</t>
  </si>
  <si>
    <t>Thuật toán Leiden chia 24 khái niệm thành 3 cộng đồng: (a) triệu chứng trầm cảm; (b) sức khỏe thực thể; (c) bất lợi kinh tế–xã hội. Cách chia giữ nguyên trên dữ liệu 2007–2012.</t>
  </si>
  <si>
    <t>Cách chia này có hợp lý về lâm sàng không? Có khái niệm nào nằm sai nhóm theo kinh nghiệm của cô?</t>
  </si>
  <si>
    <t>Khi bỏ trọng số (giữ mọi cạnh với trọng số 1), mệt mỏi và rối loạn giấc ngủ chuyển sang cộng đồng sức khỏe thực thể.</t>
  </si>
  <si>
    <t>Điều này có khớp với cách phân biệt triệu chứng cơ thể (somatic) và triệu chứng nhận thức–cảm xúc của trầm cảm không? Có tài liệu nào cô muốn dẫn?</t>
  </si>
  <si>
    <t>15/24 khái niệm có cạnh đi ra mạnh nhất trỏ về 'sức khỏe tự đánh giá kém'.</t>
  </si>
  <si>
    <t>Theo cô, đây là một nút trung gian có ý nghĩa lâm sàng, hay chủ yếu là do tỉ lệ cao của khái niệm này trong dân số?</t>
  </si>
  <si>
    <t>Bài báo không khẳng định quan hệ nhân quả và không đánh giá giá trị chẩn đoán; dữ liệu là cắt ngang.</t>
  </si>
  <si>
    <t>Cô đề xuất 1–2 câu cho phần Discussion về ý nghĩa thực hành (ví dụ cho sàng lọc ở tuyến cơ sở), trong giới hạn này.</t>
  </si>
  <si>
    <t>Người duyệt (họ tên, học vị):</t>
  </si>
  <si>
    <t>Đơn vị:</t>
  </si>
  <si>
    <t>Nguyen Tat Thanh University</t>
  </si>
  <si>
    <t>Ngày duyệt:</t>
  </si>
  <si>
    <t>Chữ ký:</t>
  </si>
  <si>
    <t>Mã</t>
  </si>
  <si>
    <t>Tài liệu</t>
  </si>
  <si>
    <t>DOI / URL</t>
  </si>
  <si>
    <t>R1</t>
  </si>
  <si>
    <t>Kroenke K, Spitzer RL, Williams JBW. The PHQ-9: validity of a brief depression severity measure. J Gen Intern Med. 2001;16(9):606–613.</t>
  </si>
  <si>
    <t>https://doi.org/10.1046/j.1525-1497.2001.016009606.x</t>
  </si>
  <si>
    <t>R2</t>
  </si>
  <si>
    <t>How Income and Income Inequality Drive Depressive Symptoms in U.S. Adults, Does Sex Matter: 2005–2016. Int J Environ Res Public Health. 2022.</t>
  </si>
  <si>
    <t>https://www.ncbi.nlm.nih.gov/pmc/articles/PMC9140340/</t>
  </si>
  <si>
    <t>[CẦN XÁC MINH] mốc PIR dùng trong bài</t>
  </si>
  <si>
    <t>R3</t>
  </si>
  <si>
    <t>CDC/NCHS. National Health Interview Survey – Adult tobacco use glossary (current, former, never smoker).</t>
  </si>
  <si>
    <t>https://www.cdc.gov/nchs/nhis/tobacco/tobacco_glossary.htm</t>
  </si>
  <si>
    <t>[CẦN XÁC MINH] URL</t>
  </si>
  <si>
    <t>R4</t>
  </si>
  <si>
    <t>National Institute on Alcohol Abuse and Alcoholism. Drinking Levels Defined.</t>
  </si>
  <si>
    <t>https://www.niaaa.nih.gov/alcohol-health/overview-alcohol-consumption/moderate-binge-drinking</t>
  </si>
  <si>
    <t>R5</t>
  </si>
  <si>
    <t>Piercy KL, Troiano RP, Ballard RM, et al. The Physical Activity Guidelines for Americans. JAMA. 2018;320(19):2020–2028.</t>
  </si>
  <si>
    <t>https://doi.org/10.1001/jama.2018.14854</t>
  </si>
  <si>
    <t>R6</t>
  </si>
  <si>
    <t>Watson NF, Badr MS, Belenky G, et al. Recommended amount of sleep for a healthy adult: a joint consensus statement of the AASM and SRS. Sleep. 2015;38(6):843–844.</t>
  </si>
  <si>
    <t>https://pmc.ncbi.nlm.nih.gov/articles/PMC4434546/</t>
  </si>
  <si>
    <t>R7</t>
  </si>
  <si>
    <t>World Health Organization. Obesity: preventing and managing the global epidemic. WHO Technical Report Series 894. Geneva: WHO; 2000.</t>
  </si>
  <si>
    <t>https://iris.who.int/handle/10665/42330</t>
  </si>
  <si>
    <t>R8</t>
  </si>
  <si>
    <t>Idler EL, Benyamini Y. Self-rated health and mortality: a review of twenty-seven community studies. J Health Soc Behav. 1997;38(1):21–37.</t>
  </si>
  <si>
    <t>https://pubmed.ncbi.nlm.nih.gov/9097506/</t>
  </si>
  <si>
    <t>R9</t>
  </si>
  <si>
    <t>American Diabetes Association. Diagnosis and Classification of Diabetes: Standards of Care in Diabetes (bản hiện hành).</t>
  </si>
  <si>
    <t>https://diabetesjournals.org/care</t>
  </si>
  <si>
    <t>[CẦN XÁC MINH] năm và trang</t>
  </si>
  <si>
    <t>Giữ</t>
  </si>
  <si>
    <t>Điểm 0–3 chia 3 coi các bậc cách đều nhau, đây là giả định thang khoảng; nên chạy phân tích độ nhạy với nhị phân hóa (mục ≥ 2, "hơn nửa số ngày"). Mục 9 (ý nghĩ tự hại) tỉ lệ dương thấp, cạnh nối với nó kém ổn định; bài báo nên nói rõ, không diễn giải quá mức.</t>
  </si>
  <si>
    <t>Sửa</t>
  </si>
  <si>
    <t>1 khi PIR ≤ 1,3; 0 khi PIR ≥ 3,5; tuyến tính ở giữa.</t>
  </si>
  <si>
    <t>Mốc 1,3 / 3,5 hay gặp khi phân nhóm PIR trong NHANES [R2 – CẦN XÁC MINH trong nguồn]</t>
  </si>
  <si>
    <t>Mốc hiện tại (1 và 3) bám ngưỡng nghèo, nhưng nhóm 1,0–1,3 vẫn có bất lợi kinh tế rõ rệt. Cần xác minh mốc trước khi dẫn.</t>
  </si>
  <si>
    <t>Thang ba bậc hợp lý. Nếu cần thêm độ phân giải: "một phần cao đẳng" = 0,25 (phân tích độ nhạy).</t>
  </si>
  <si>
    <t>Góa, ly hôn, ly thân = 1; chưa từng kết hôn = 0,5; đang kết hôn/sống chung = 0.</t>
  </si>
  <si>
    <t>Ý kiến lâm sàng; chưa có nguồn cụ thể, người duyệt cần bổ sung nếu muốn dẫn.</t>
  </si>
  <si>
    <t>Mất bạn đời (góa, ly hôn, ly thân) và chưa từng kết hôn khác nhau về ý nghĩa lâm sàng (biến cố mất mát so với tình trạng kéo dài). Mức 0,5 là lựa chọn quy ước.</t>
  </si>
  <si>
    <t>Biến nhị phân theo định nghĩa.</t>
  </si>
  <si>
    <t>Định nghĩa hút thuốc NHIS/CDC [R3 – CẦN XÁC MINH URL]</t>
  </si>
  <si>
    <t>Mức 0,5 cho "thỉnh thoảng" là lựa chọn phân bậc; ghi rõ trong Methods. Độ nhạy: "đã bỏ" = 0,25.</t>
  </si>
  <si>
    <t>Tách theo giới. Nam: 0 tại ≤ 2 ly/ngày uống, 1 tại ≥ 5. Nữ: 0 tại ≤ 1, 1 tại ≥ 4. Không uống trong năm = 0.</t>
  </si>
  <si>
    <t>NIAAA, Drinking Levels Defined [R4 – CẦN XÁC MINH URL]</t>
  </si>
  <si>
    <t>Ngưỡng nguy cơ khác nhau theo giới nên một hàm chung làm sai lệch mức độ ở nữ. Cần biến RIAGENDR; ALQ130 là số ly trung bình trên ngày có uống.</t>
  </si>
  <si>
    <t>PAQ chỉ hỏi có/không (≥ 10 phút liên tục), không tính được 150 phút/tuần; ghi rõ là hạn chế.</t>
  </si>
  <si>
    <t>Mốc 7 giờ khớp khuyến nghị AASM/SRS; μ = 1 tại ≤ 5 giờ là hợp lý cho "ngủ rất ngắn". Đề xuất thêm khái niệm long_sleep (&gt; 9 giờ) như một mở rộng/phân tích độ nhạy. Lưu ý: giấc ngủ trùng với một mục PHQ-9, xem Câu hỏi 1.</t>
  </si>
  <si>
    <t>0 khi BMI ≤ 25; 1 khi BMI ≥ 30; tuyến tính ở giữa.</t>
  </si>
  <si>
    <t>WHO TRS 894 [R7 – CẦN XÁC MINH URL]. Với người gốc Á, WHO Expert Consultation 2004 (Lancet) đề xuất mốc thấp hơn [CẦN XÁC MINH].</t>
  </si>
  <si>
    <t>Khái niệm tên "béo phì" nhưng hàm hiện tại cho người BMI 30 (đã đạt mốc béo phì) chỉ μ = 0,5. Nếu muốn giữ thang đến 35 thì nên đổi tên khái niệm thành "thừa cân/béo phì (mức độ)".</t>
  </si>
  <si>
    <t>Thang tuyến tính 5 bậc hợp lý. Độ nhạy: 1–2 = 0; 3 = 0,33; 4 = 0,67; 5 = 1.</t>
  </si>
  <si>
    <t>Tự báo cáo chẩn đoán. Có thể đối chiếu với huyết áp đo trực tiếp trong phân tích độ nhạy.</t>
  </si>
  <si>
    <t>ADA Standards of Care [R9 – CẦN XÁC MINH năm/trang]</t>
  </si>
  <si>
    <t>"Giáp ranh" = 0,5 hơi cao so với tiền đái tháo đường; chạy độ nhạy ở 0,3.</t>
  </si>
  <si>
    <t>Có thể tách đột quỵ làm độ nhạy; gộp là chấp nhận được cho mục đích bài báo.</t>
  </si>
  <si>
    <t>Có ung thư (MCQ220 = có) = 1, trừ khi chỉ là ung thư da không phải melanoma (xác định qua MCQ230) thì = 0.</t>
  </si>
  <si>
    <t>Ý kiến lâm sàng; cần dẫn nguồn nếu muốn.</t>
  </si>
  <si>
    <t>Ung thư da không phải melanoma rất phổ biến, tiên lượng tốt, ít gánh nặng tâm lý so với các ung thư khác.</t>
  </si>
  <si>
    <t>Đau mạn tính có thể là đường trung gian tới trầm cảm; chỉ ghi là giới hạn diễn giải.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</si>
</sst>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Times New Roman"/>
      <charset val="1"/>
    </font>
    <font>
      <sz val="11"/>
      <name val="Times New Roman"/>
      <charset val="1"/>
    </font>
    <font>
      <b/>
      <sz val="12"/>
      <name val="Times New Roman"/>
      <charset val="1"/>
    </font>
    <font>
      <b/>
      <sz val="11"/>
      <name val="Times New Roman"/>
      <charset val="1"/>
    </font>
    <font>
      <i/>
      <sz val="10"/>
      <color rgb="FF404040"/>
      <name val="Times New Roman"/>
      <charset val="1"/>
    </font>
    <font>
      <sz val="10"/>
      <name val="Times New Roman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EDEDED"/>
      </patternFill>
    </fill>
    <fill>
      <patternFill patternType="solid">
        <fgColor rgb="FFEDEDED"/>
        <bgColor rgb="FFD9E2F3"/>
      </patternFill>
    </fill>
    <fill>
      <patternFill patternType="solid">
        <fgColor rgb="FFFFF2CC"/>
        <bgColor rgb="FFEDEDED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0" xfId="0" applyFont="1"/>
    <xf numFmtId="0" fontId="2" fillId="0" borderId="0" xfId="0" applyFont="1"/>
    <xf numFmtId="0" fontId="0" fillId="4" borderId="1" xfId="0" applyFill="1" applyBorder="1"/>
    <xf numFmtId="0" fontId="2" fillId="4" borderId="1" xfId="0" applyFont="1" applyFill="1" applyBorder="1"/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opLeftCell="A6" zoomScaleNormal="100" workbookViewId="0"/>
  </sheetViews>
  <sheetFormatPr defaultColWidth="8.6640625" defaultRowHeight="14.25" x14ac:dyDescent="0.45"/>
  <cols>
    <col min="1" max="1" width="120" customWidth="1"/>
  </cols>
  <sheetData>
    <row r="1" spans="1:1" ht="17.25" x14ac:dyDescent="0.45">
      <c r="A1" s="1" t="s">
        <v>0</v>
      </c>
    </row>
    <row r="2" spans="1:1" ht="48" customHeight="1" x14ac:dyDescent="0.45">
      <c r="A2" s="2" t="s">
        <v>1</v>
      </c>
    </row>
    <row r="3" spans="1:1" x14ac:dyDescent="0.45">
      <c r="A3" s="2" t="s">
        <v>2</v>
      </c>
    </row>
    <row r="4" spans="1:1" x14ac:dyDescent="0.45">
      <c r="A4" s="2"/>
    </row>
    <row r="5" spans="1:1" ht="15" x14ac:dyDescent="0.45">
      <c r="A5" s="3" t="s">
        <v>3</v>
      </c>
    </row>
    <row r="6" spans="1:1" ht="48" customHeight="1" x14ac:dyDescent="0.45">
      <c r="A6" s="2" t="s">
        <v>4</v>
      </c>
    </row>
    <row r="7" spans="1:1" x14ac:dyDescent="0.45">
      <c r="A7" s="2"/>
    </row>
    <row r="8" spans="1:1" ht="15" x14ac:dyDescent="0.45">
      <c r="A8" s="3" t="s">
        <v>5</v>
      </c>
    </row>
    <row r="9" spans="1:1" x14ac:dyDescent="0.45">
      <c r="A9" s="2" t="s">
        <v>6</v>
      </c>
    </row>
    <row r="10" spans="1:1" ht="48" customHeight="1" x14ac:dyDescent="0.45">
      <c r="A10" s="2" t="s">
        <v>7</v>
      </c>
    </row>
    <row r="11" spans="1:1" ht="48" customHeight="1" x14ac:dyDescent="0.45">
      <c r="A11" s="2" t="s">
        <v>8</v>
      </c>
    </row>
    <row r="12" spans="1:1" x14ac:dyDescent="0.45">
      <c r="A12" s="2" t="s">
        <v>9</v>
      </c>
    </row>
    <row r="13" spans="1:1" x14ac:dyDescent="0.45">
      <c r="A13" s="2" t="s">
        <v>10</v>
      </c>
    </row>
    <row r="14" spans="1:1" x14ac:dyDescent="0.45">
      <c r="A14" s="2"/>
    </row>
    <row r="15" spans="1:1" ht="15" x14ac:dyDescent="0.45">
      <c r="A15" s="3" t="s">
        <v>11</v>
      </c>
    </row>
    <row r="16" spans="1:1" ht="48" customHeight="1" x14ac:dyDescent="0.45">
      <c r="A16" s="2" t="s">
        <v>12</v>
      </c>
    </row>
    <row r="17" spans="1:1" x14ac:dyDescent="0.45">
      <c r="A17" s="2"/>
    </row>
    <row r="18" spans="1:1" ht="15" x14ac:dyDescent="0.45">
      <c r="A18" s="3" t="s">
        <v>13</v>
      </c>
    </row>
    <row r="19" spans="1:1" x14ac:dyDescent="0.45">
      <c r="A19" s="2" t="s">
        <v>14</v>
      </c>
    </row>
    <row r="20" spans="1:1" x14ac:dyDescent="0.45">
      <c r="A20" s="2" t="s">
        <v>15</v>
      </c>
    </row>
    <row r="21" spans="1:1" x14ac:dyDescent="0.45">
      <c r="A21" s="2" t="s">
        <v>16</v>
      </c>
    </row>
    <row r="22" spans="1:1" x14ac:dyDescent="0.45">
      <c r="A22" s="2"/>
    </row>
    <row r="23" spans="1:1" ht="15" x14ac:dyDescent="0.45">
      <c r="A23" s="3" t="s">
        <v>17</v>
      </c>
    </row>
    <row r="24" spans="1:1" ht="48" customHeight="1" x14ac:dyDescent="0.45">
      <c r="A24" s="2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tabSelected="1" zoomScaleNormal="100" workbookViewId="0">
      <pane xSplit="3" ySplit="1" topLeftCell="G10" activePane="bottomRight" state="frozen"/>
      <selection pane="topRight" activeCell="D1" sqref="D1"/>
      <selection pane="bottomLeft" activeCell="A2" sqref="A2"/>
      <selection pane="bottomRight" activeCell="I2" sqref="I2:L17"/>
    </sheetView>
  </sheetViews>
  <sheetFormatPr defaultColWidth="8.6640625" defaultRowHeight="14.25" x14ac:dyDescent="0.45"/>
  <cols>
    <col min="1" max="1" width="5" customWidth="1"/>
    <col min="2" max="2" width="14" customWidth="1"/>
    <col min="3" max="3" width="22" customWidth="1"/>
    <col min="4" max="4" width="18" customWidth="1"/>
    <col min="5" max="5" width="20" customWidth="1"/>
    <col min="6" max="6" width="40" customWidth="1"/>
    <col min="7" max="7" width="46" customWidth="1"/>
    <col min="8" max="8" width="26" customWidth="1"/>
    <col min="9" max="9" width="14" customWidth="1"/>
    <col min="10" max="10" width="36" customWidth="1"/>
    <col min="11" max="11" width="24" customWidth="1"/>
    <col min="12" max="12" width="26" customWidth="1"/>
  </cols>
  <sheetData>
    <row r="1" spans="1:12" ht="27" x14ac:dyDescent="0.4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</row>
    <row r="2" spans="1:12" ht="118.15" x14ac:dyDescent="0.45">
      <c r="A2" s="5">
        <v>1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6" t="s">
        <v>36</v>
      </c>
      <c r="H2" s="6" t="s">
        <v>37</v>
      </c>
      <c r="I2" s="5" t="s">
        <v>176</v>
      </c>
      <c r="J2" s="5" t="s">
        <v>50</v>
      </c>
      <c r="K2" s="12" t="s">
        <v>37</v>
      </c>
      <c r="L2" s="12" t="s">
        <v>177</v>
      </c>
    </row>
    <row r="3" spans="1:12" ht="52.5" x14ac:dyDescent="0.45">
      <c r="A3" s="5">
        <v>2</v>
      </c>
      <c r="B3" s="5" t="s">
        <v>38</v>
      </c>
      <c r="C3" s="5" t="s">
        <v>39</v>
      </c>
      <c r="D3" s="5" t="s">
        <v>40</v>
      </c>
      <c r="E3" s="5" t="s">
        <v>41</v>
      </c>
      <c r="F3" s="5" t="s">
        <v>42</v>
      </c>
      <c r="G3" s="6" t="s">
        <v>43</v>
      </c>
      <c r="H3" s="6" t="s">
        <v>44</v>
      </c>
      <c r="I3" s="5" t="s">
        <v>178</v>
      </c>
      <c r="J3" s="5" t="s">
        <v>179</v>
      </c>
      <c r="K3" s="12" t="s">
        <v>180</v>
      </c>
      <c r="L3" s="12" t="s">
        <v>181</v>
      </c>
    </row>
    <row r="4" spans="1:12" ht="41.65" x14ac:dyDescent="0.45">
      <c r="A4" s="5">
        <v>3</v>
      </c>
      <c r="B4" s="5" t="s">
        <v>38</v>
      </c>
      <c r="C4" s="5" t="s">
        <v>45</v>
      </c>
      <c r="D4" s="5" t="s">
        <v>46</v>
      </c>
      <c r="E4" s="5" t="s">
        <v>47</v>
      </c>
      <c r="F4" s="5" t="s">
        <v>48</v>
      </c>
      <c r="G4" s="6" t="s">
        <v>49</v>
      </c>
      <c r="H4" s="6" t="s">
        <v>50</v>
      </c>
      <c r="I4" s="5" t="s">
        <v>176</v>
      </c>
      <c r="J4" s="5" t="s">
        <v>50</v>
      </c>
      <c r="K4" s="12" t="s">
        <v>50</v>
      </c>
      <c r="L4" s="12" t="s">
        <v>182</v>
      </c>
    </row>
    <row r="5" spans="1:12" ht="65.650000000000006" x14ac:dyDescent="0.45">
      <c r="A5" s="5">
        <v>4</v>
      </c>
      <c r="B5" s="5" t="s">
        <v>38</v>
      </c>
      <c r="C5" s="5" t="s">
        <v>51</v>
      </c>
      <c r="D5" s="5" t="s">
        <v>52</v>
      </c>
      <c r="E5" s="5" t="s">
        <v>53</v>
      </c>
      <c r="F5" s="5" t="s">
        <v>54</v>
      </c>
      <c r="G5" s="6" t="s">
        <v>55</v>
      </c>
      <c r="H5" s="6" t="s">
        <v>50</v>
      </c>
      <c r="I5" s="5" t="s">
        <v>178</v>
      </c>
      <c r="J5" s="5" t="s">
        <v>183</v>
      </c>
      <c r="K5" s="12" t="s">
        <v>184</v>
      </c>
      <c r="L5" s="12" t="s">
        <v>185</v>
      </c>
    </row>
    <row r="6" spans="1:12" ht="27.75" x14ac:dyDescent="0.45">
      <c r="A6" s="5">
        <v>5</v>
      </c>
      <c r="B6" s="5" t="s">
        <v>38</v>
      </c>
      <c r="C6" s="5" t="s">
        <v>56</v>
      </c>
      <c r="D6" s="5" t="s">
        <v>57</v>
      </c>
      <c r="E6" s="5" t="s">
        <v>58</v>
      </c>
      <c r="F6" s="5" t="s">
        <v>59</v>
      </c>
      <c r="G6" s="6" t="s">
        <v>60</v>
      </c>
      <c r="H6" s="6" t="s">
        <v>50</v>
      </c>
      <c r="I6" s="5" t="s">
        <v>176</v>
      </c>
      <c r="J6" s="5" t="s">
        <v>50</v>
      </c>
      <c r="K6" s="12" t="s">
        <v>50</v>
      </c>
      <c r="L6" s="12" t="s">
        <v>186</v>
      </c>
    </row>
    <row r="7" spans="1:12" ht="52.5" x14ac:dyDescent="0.45">
      <c r="A7" s="5">
        <v>6</v>
      </c>
      <c r="B7" s="5" t="s">
        <v>61</v>
      </c>
      <c r="C7" s="5" t="s">
        <v>62</v>
      </c>
      <c r="D7" s="5" t="s">
        <v>63</v>
      </c>
      <c r="E7" s="5" t="s">
        <v>64</v>
      </c>
      <c r="F7" s="5" t="s">
        <v>65</v>
      </c>
      <c r="G7" s="6" t="s">
        <v>66</v>
      </c>
      <c r="H7" s="6" t="s">
        <v>67</v>
      </c>
      <c r="I7" s="5" t="s">
        <v>176</v>
      </c>
      <c r="J7" s="5" t="s">
        <v>50</v>
      </c>
      <c r="K7" s="12" t="s">
        <v>187</v>
      </c>
      <c r="L7" s="12" t="s">
        <v>188</v>
      </c>
    </row>
    <row r="8" spans="1:12" ht="65.650000000000006" x14ac:dyDescent="0.45">
      <c r="A8" s="5">
        <v>7</v>
      </c>
      <c r="B8" s="5" t="s">
        <v>61</v>
      </c>
      <c r="C8" s="5" t="s">
        <v>68</v>
      </c>
      <c r="D8" s="5" t="s">
        <v>69</v>
      </c>
      <c r="E8" s="5" t="s">
        <v>70</v>
      </c>
      <c r="F8" s="5" t="s">
        <v>71</v>
      </c>
      <c r="G8" s="6" t="s">
        <v>72</v>
      </c>
      <c r="H8" s="6" t="s">
        <v>73</v>
      </c>
      <c r="I8" s="5" t="s">
        <v>178</v>
      </c>
      <c r="J8" s="5" t="s">
        <v>189</v>
      </c>
      <c r="K8" s="12" t="s">
        <v>190</v>
      </c>
      <c r="L8" s="12" t="s">
        <v>191</v>
      </c>
    </row>
    <row r="9" spans="1:12" ht="39.4" x14ac:dyDescent="0.45">
      <c r="A9" s="5">
        <v>8</v>
      </c>
      <c r="B9" s="5" t="s">
        <v>61</v>
      </c>
      <c r="C9" s="5" t="s">
        <v>74</v>
      </c>
      <c r="D9" s="5" t="s">
        <v>75</v>
      </c>
      <c r="E9" s="5" t="s">
        <v>76</v>
      </c>
      <c r="F9" s="5" t="s">
        <v>77</v>
      </c>
      <c r="G9" s="6" t="s">
        <v>78</v>
      </c>
      <c r="H9" s="6" t="s">
        <v>79</v>
      </c>
      <c r="I9" s="5" t="s">
        <v>176</v>
      </c>
      <c r="J9" s="5" t="s">
        <v>50</v>
      </c>
      <c r="K9" s="12" t="s">
        <v>79</v>
      </c>
      <c r="L9" s="12" t="s">
        <v>192</v>
      </c>
    </row>
    <row r="10" spans="1:12" ht="105" x14ac:dyDescent="0.45">
      <c r="A10" s="5">
        <v>9</v>
      </c>
      <c r="B10" s="5" t="s">
        <v>61</v>
      </c>
      <c r="C10" s="5" t="s">
        <v>80</v>
      </c>
      <c r="D10" s="5" t="s">
        <v>81</v>
      </c>
      <c r="E10" s="5" t="s">
        <v>82</v>
      </c>
      <c r="F10" s="5" t="s">
        <v>83</v>
      </c>
      <c r="G10" s="6" t="s">
        <v>84</v>
      </c>
      <c r="H10" s="6" t="s">
        <v>85</v>
      </c>
      <c r="I10" s="5" t="s">
        <v>176</v>
      </c>
      <c r="J10" s="5" t="s">
        <v>50</v>
      </c>
      <c r="K10" s="12" t="s">
        <v>85</v>
      </c>
      <c r="L10" s="12" t="s">
        <v>193</v>
      </c>
    </row>
    <row r="11" spans="1:12" ht="78.75" x14ac:dyDescent="0.45">
      <c r="A11" s="5">
        <v>10</v>
      </c>
      <c r="B11" s="5" t="s">
        <v>61</v>
      </c>
      <c r="C11" s="5" t="s">
        <v>86</v>
      </c>
      <c r="D11" s="5" t="s">
        <v>87</v>
      </c>
      <c r="E11" s="5" t="s">
        <v>88</v>
      </c>
      <c r="F11" s="5" t="s">
        <v>89</v>
      </c>
      <c r="G11" s="6" t="s">
        <v>90</v>
      </c>
      <c r="H11" s="6" t="s">
        <v>91</v>
      </c>
      <c r="I11" s="5" t="s">
        <v>178</v>
      </c>
      <c r="J11" s="5" t="s">
        <v>194</v>
      </c>
      <c r="K11" s="12" t="s">
        <v>195</v>
      </c>
      <c r="L11" s="12" t="s">
        <v>196</v>
      </c>
    </row>
    <row r="12" spans="1:12" ht="39.4" x14ac:dyDescent="0.45">
      <c r="A12" s="5">
        <v>11</v>
      </c>
      <c r="B12" s="5" t="s">
        <v>92</v>
      </c>
      <c r="C12" s="5" t="s">
        <v>93</v>
      </c>
      <c r="D12" s="5" t="s">
        <v>94</v>
      </c>
      <c r="E12" s="5" t="s">
        <v>95</v>
      </c>
      <c r="F12" s="5" t="s">
        <v>96</v>
      </c>
      <c r="G12" s="6" t="s">
        <v>97</v>
      </c>
      <c r="H12" s="6" t="s">
        <v>98</v>
      </c>
      <c r="I12" s="5" t="s">
        <v>176</v>
      </c>
      <c r="J12" s="5" t="s">
        <v>50</v>
      </c>
      <c r="K12" s="12" t="s">
        <v>98</v>
      </c>
      <c r="L12" s="12" t="s">
        <v>197</v>
      </c>
    </row>
    <row r="13" spans="1:12" ht="39.4" x14ac:dyDescent="0.45">
      <c r="A13" s="5">
        <v>12</v>
      </c>
      <c r="B13" s="5" t="s">
        <v>92</v>
      </c>
      <c r="C13" s="5" t="s">
        <v>99</v>
      </c>
      <c r="D13" s="5" t="s">
        <v>100</v>
      </c>
      <c r="E13" s="5" t="s">
        <v>101</v>
      </c>
      <c r="F13" s="5" t="s">
        <v>102</v>
      </c>
      <c r="G13" s="6" t="s">
        <v>103</v>
      </c>
      <c r="H13" s="6" t="s">
        <v>50</v>
      </c>
      <c r="I13" s="5" t="s">
        <v>176</v>
      </c>
      <c r="J13" s="5" t="s">
        <v>50</v>
      </c>
      <c r="K13" s="12" t="s">
        <v>50</v>
      </c>
      <c r="L13" s="12" t="s">
        <v>198</v>
      </c>
    </row>
    <row r="14" spans="1:12" ht="39.4" x14ac:dyDescent="0.45">
      <c r="A14" s="5">
        <v>13</v>
      </c>
      <c r="B14" s="5" t="s">
        <v>92</v>
      </c>
      <c r="C14" s="5" t="s">
        <v>104</v>
      </c>
      <c r="D14" s="5" t="s">
        <v>105</v>
      </c>
      <c r="E14" s="5" t="s">
        <v>106</v>
      </c>
      <c r="F14" s="5" t="s">
        <v>107</v>
      </c>
      <c r="G14" s="6" t="s">
        <v>108</v>
      </c>
      <c r="H14" s="6" t="s">
        <v>109</v>
      </c>
      <c r="I14" s="5" t="s">
        <v>176</v>
      </c>
      <c r="J14" s="5" t="s">
        <v>50</v>
      </c>
      <c r="K14" s="12" t="s">
        <v>199</v>
      </c>
      <c r="L14" s="12" t="s">
        <v>200</v>
      </c>
    </row>
    <row r="15" spans="1:12" ht="39.4" x14ac:dyDescent="0.45">
      <c r="A15" s="5">
        <v>14</v>
      </c>
      <c r="B15" s="5" t="s">
        <v>92</v>
      </c>
      <c r="C15" s="5" t="s">
        <v>110</v>
      </c>
      <c r="D15" s="5" t="s">
        <v>111</v>
      </c>
      <c r="E15" s="5" t="s">
        <v>112</v>
      </c>
      <c r="F15" s="5" t="s">
        <v>113</v>
      </c>
      <c r="G15" s="6" t="s">
        <v>114</v>
      </c>
      <c r="H15" s="6" t="s">
        <v>50</v>
      </c>
      <c r="I15" s="5" t="s">
        <v>176</v>
      </c>
      <c r="J15" s="5" t="s">
        <v>50</v>
      </c>
      <c r="K15" s="12" t="s">
        <v>50</v>
      </c>
      <c r="L15" s="12" t="s">
        <v>201</v>
      </c>
    </row>
    <row r="16" spans="1:12" ht="52.5" x14ac:dyDescent="0.45">
      <c r="A16" s="5">
        <v>15</v>
      </c>
      <c r="B16" s="5" t="s">
        <v>92</v>
      </c>
      <c r="C16" s="5" t="s">
        <v>115</v>
      </c>
      <c r="D16" s="5" t="s">
        <v>116</v>
      </c>
      <c r="E16" s="5" t="s">
        <v>117</v>
      </c>
      <c r="F16" s="5" t="s">
        <v>118</v>
      </c>
      <c r="G16" s="6" t="s">
        <v>119</v>
      </c>
      <c r="H16" s="6" t="s">
        <v>50</v>
      </c>
      <c r="I16" s="5" t="s">
        <v>178</v>
      </c>
      <c r="J16" s="5" t="s">
        <v>202</v>
      </c>
      <c r="K16" s="12" t="s">
        <v>203</v>
      </c>
      <c r="L16" s="12" t="s">
        <v>204</v>
      </c>
    </row>
    <row r="17" spans="1:12" ht="39.4" x14ac:dyDescent="0.45">
      <c r="A17" s="5">
        <v>16</v>
      </c>
      <c r="B17" s="5" t="s">
        <v>92</v>
      </c>
      <c r="C17" s="5" t="s">
        <v>120</v>
      </c>
      <c r="D17" s="5" t="s">
        <v>121</v>
      </c>
      <c r="E17" s="5" t="s">
        <v>122</v>
      </c>
      <c r="F17" s="5" t="s">
        <v>123</v>
      </c>
      <c r="G17" s="6" t="s">
        <v>124</v>
      </c>
      <c r="H17" s="6" t="s">
        <v>50</v>
      </c>
      <c r="I17" s="5" t="s">
        <v>176</v>
      </c>
      <c r="J17" s="5" t="s">
        <v>50</v>
      </c>
      <c r="K17" s="12" t="s">
        <v>50</v>
      </c>
      <c r="L17" s="12" t="s">
        <v>205</v>
      </c>
    </row>
    <row r="19" spans="1:12" x14ac:dyDescent="0.45">
      <c r="A19" s="8" t="s">
        <v>125</v>
      </c>
      <c r="C19" s="9" t="str">
        <f>COUNTA(I2:I17)&amp;" / 16 dòng"</f>
        <v>16 / 16 dòng</v>
      </c>
    </row>
    <row r="20" spans="1:12" x14ac:dyDescent="0.45">
      <c r="A20" s="8" t="s">
        <v>126</v>
      </c>
      <c r="C20" s="9">
        <f>COUNTIF(I2:I17,"Sửa")</f>
        <v>5</v>
      </c>
    </row>
  </sheetData>
  <dataValidations count="1">
    <dataValidation type="list" allowBlank="1" sqref="I2:I17" xr:uid="{00000000-0002-0000-0100-000000000000}">
      <formula1>"Giữ,Sửa"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zoomScaleNormal="100" workbookViewId="0"/>
  </sheetViews>
  <sheetFormatPr defaultColWidth="8.6640625" defaultRowHeight="14.25" x14ac:dyDescent="0.45"/>
  <cols>
    <col min="1" max="1" width="5" customWidth="1"/>
    <col min="2" max="2" width="55" customWidth="1"/>
    <col min="3" max="3" width="50" customWidth="1"/>
    <col min="4" max="4" width="60" customWidth="1"/>
  </cols>
  <sheetData>
    <row r="1" spans="1:4" x14ac:dyDescent="0.45">
      <c r="A1" s="4" t="s">
        <v>19</v>
      </c>
      <c r="B1" s="4" t="s">
        <v>127</v>
      </c>
      <c r="C1" s="4" t="s">
        <v>128</v>
      </c>
      <c r="D1" s="4" t="s">
        <v>129</v>
      </c>
    </row>
    <row r="2" spans="1:4" ht="90" customHeight="1" x14ac:dyDescent="0.45">
      <c r="A2" s="5">
        <v>1</v>
      </c>
      <c r="B2" s="5" t="s">
        <v>130</v>
      </c>
      <c r="C2" s="5" t="s">
        <v>131</v>
      </c>
      <c r="D2" s="7"/>
    </row>
    <row r="3" spans="1:4" ht="90" customHeight="1" x14ac:dyDescent="0.45">
      <c r="A3" s="5">
        <v>2</v>
      </c>
      <c r="B3" s="5" t="s">
        <v>132</v>
      </c>
      <c r="C3" s="5" t="s">
        <v>133</v>
      </c>
      <c r="D3" s="7"/>
    </row>
    <row r="4" spans="1:4" ht="90" customHeight="1" x14ac:dyDescent="0.45">
      <c r="A4" s="5">
        <v>3</v>
      </c>
      <c r="B4" s="5" t="s">
        <v>134</v>
      </c>
      <c r="C4" s="5" t="s">
        <v>135</v>
      </c>
      <c r="D4" s="7"/>
    </row>
    <row r="5" spans="1:4" ht="90" customHeight="1" x14ac:dyDescent="0.45">
      <c r="A5" s="5">
        <v>4</v>
      </c>
      <c r="B5" s="5" t="s">
        <v>136</v>
      </c>
      <c r="C5" s="5" t="s">
        <v>137</v>
      </c>
      <c r="D5" s="7"/>
    </row>
    <row r="7" spans="1:4" x14ac:dyDescent="0.45">
      <c r="B7" s="8" t="s">
        <v>138</v>
      </c>
      <c r="C7" s="10"/>
    </row>
    <row r="8" spans="1:4" x14ac:dyDescent="0.45">
      <c r="B8" s="8" t="s">
        <v>139</v>
      </c>
      <c r="C8" s="11" t="s">
        <v>140</v>
      </c>
    </row>
    <row r="9" spans="1:4" x14ac:dyDescent="0.45">
      <c r="B9" s="8" t="s">
        <v>141</v>
      </c>
      <c r="C9" s="10"/>
    </row>
    <row r="10" spans="1:4" x14ac:dyDescent="0.45">
      <c r="B10" s="8" t="s">
        <v>142</v>
      </c>
      <c r="C10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zoomScaleNormal="100" workbookViewId="0"/>
  </sheetViews>
  <sheetFormatPr defaultColWidth="8.6640625" defaultRowHeight="14.25" x14ac:dyDescent="0.45"/>
  <cols>
    <col min="1" max="1" width="6" customWidth="1"/>
    <col min="2" max="2" width="80" customWidth="1"/>
    <col min="3" max="3" width="55" customWidth="1"/>
    <col min="4" max="4" width="30" customWidth="1"/>
  </cols>
  <sheetData>
    <row r="1" spans="1:4" x14ac:dyDescent="0.45">
      <c r="A1" s="4" t="s">
        <v>143</v>
      </c>
      <c r="B1" s="4" t="s">
        <v>144</v>
      </c>
      <c r="C1" s="4" t="s">
        <v>145</v>
      </c>
      <c r="D1" s="4" t="s">
        <v>30</v>
      </c>
    </row>
    <row r="2" spans="1:4" ht="27.75" x14ac:dyDescent="0.45">
      <c r="A2" s="5" t="s">
        <v>146</v>
      </c>
      <c r="B2" s="5" t="s">
        <v>147</v>
      </c>
      <c r="C2" s="5" t="s">
        <v>148</v>
      </c>
      <c r="D2" s="5"/>
    </row>
    <row r="3" spans="1:4" ht="27.75" x14ac:dyDescent="0.45">
      <c r="A3" s="5" t="s">
        <v>149</v>
      </c>
      <c r="B3" s="5" t="s">
        <v>150</v>
      </c>
      <c r="C3" s="5" t="s">
        <v>151</v>
      </c>
      <c r="D3" s="5" t="s">
        <v>152</v>
      </c>
    </row>
    <row r="4" spans="1:4" ht="27.75" x14ac:dyDescent="0.45">
      <c r="A4" s="5" t="s">
        <v>153</v>
      </c>
      <c r="B4" s="5" t="s">
        <v>154</v>
      </c>
      <c r="C4" s="5" t="s">
        <v>155</v>
      </c>
      <c r="D4" s="5" t="s">
        <v>156</v>
      </c>
    </row>
    <row r="5" spans="1:4" ht="27.75" x14ac:dyDescent="0.45">
      <c r="A5" s="5" t="s">
        <v>157</v>
      </c>
      <c r="B5" s="5" t="s">
        <v>158</v>
      </c>
      <c r="C5" s="5" t="s">
        <v>159</v>
      </c>
      <c r="D5" s="5" t="s">
        <v>156</v>
      </c>
    </row>
    <row r="6" spans="1:4" ht="27.75" x14ac:dyDescent="0.45">
      <c r="A6" s="5" t="s">
        <v>160</v>
      </c>
      <c r="B6" s="5" t="s">
        <v>161</v>
      </c>
      <c r="C6" s="5" t="s">
        <v>162</v>
      </c>
      <c r="D6" s="5"/>
    </row>
    <row r="7" spans="1:4" ht="27.75" x14ac:dyDescent="0.45">
      <c r="A7" s="5" t="s">
        <v>163</v>
      </c>
      <c r="B7" s="5" t="s">
        <v>164</v>
      </c>
      <c r="C7" s="5" t="s">
        <v>165</v>
      </c>
      <c r="D7" s="5"/>
    </row>
    <row r="8" spans="1:4" ht="27.75" x14ac:dyDescent="0.45">
      <c r="A8" s="5" t="s">
        <v>166</v>
      </c>
      <c r="B8" s="5" t="s">
        <v>167</v>
      </c>
      <c r="C8" s="5" t="s">
        <v>168</v>
      </c>
      <c r="D8" s="5" t="s">
        <v>156</v>
      </c>
    </row>
    <row r="9" spans="1:4" ht="27.75" x14ac:dyDescent="0.45">
      <c r="A9" s="5" t="s">
        <v>169</v>
      </c>
      <c r="B9" s="5" t="s">
        <v>170</v>
      </c>
      <c r="C9" s="5" t="s">
        <v>171</v>
      </c>
      <c r="D9" s="5"/>
    </row>
    <row r="10" spans="1:4" ht="27.75" x14ac:dyDescent="0.45">
      <c r="A10" s="5" t="s">
        <v>172</v>
      </c>
      <c r="B10" s="5" t="s">
        <v>173</v>
      </c>
      <c r="C10" s="5" t="s">
        <v>174</v>
      </c>
      <c r="D10" s="5" t="s">
        <v>175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Huong dan</vt:lpstr>
      <vt:lpstr>Phieu duyet</vt:lpstr>
      <vt:lpstr>Cau hoi lam sang</vt:lpstr>
      <vt:lpstr>Nguon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Bang Truong</cp:lastModifiedBy>
  <cp:revision>0</cp:revision>
  <dcterms:created xsi:type="dcterms:W3CDTF">2026-10-29T07:27:42Z</dcterms:created>
  <dcterms:modified xsi:type="dcterms:W3CDTF">2026-10-29T07:41:34Z</dcterms:modified>
  <dc:language>en-US</dc:language>
</cp:coreProperties>
</file>